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cuments\IFSC\1_Docencia\1_ECO129008\1_material de aulas\"/>
    </mc:Choice>
  </mc:AlternateContent>
  <xr:revisionPtr revIDLastSave="0" documentId="13_ncr:1_{DBC5FCFE-A2BE-4B9C-8CFA-BCB9FD7CC0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ula 10 Exemplo 01" sheetId="11" r:id="rId1"/>
    <sheet name="Aula 10 Exemplo 02" sheetId="1" r:id="rId2"/>
    <sheet name="Aula 10 Exemplo 03" sheetId="2" r:id="rId3"/>
    <sheet name="Aula 10 Exemplo 04" sheetId="4" r:id="rId4"/>
    <sheet name="Aula 10 Exemplo 05" sheetId="3" r:id="rId5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4" i="4" l="1"/>
  <c r="BF21" i="4"/>
  <c r="BF24" i="4"/>
  <c r="BF25" i="4"/>
  <c r="BF27" i="4"/>
  <c r="BF28" i="4" s="1"/>
  <c r="BE21" i="4"/>
  <c r="BE24" i="4"/>
  <c r="BE25" i="4"/>
  <c r="BE27" i="4"/>
  <c r="BE28" i="4" s="1"/>
  <c r="C9" i="4"/>
  <c r="G13" i="4"/>
  <c r="E13" i="4"/>
  <c r="C10" i="11"/>
  <c r="BF29" i="4" l="1"/>
  <c r="BF30" i="4"/>
  <c r="BF31" i="4" s="1"/>
  <c r="BE29" i="4"/>
  <c r="BE30" i="4"/>
  <c r="BE31" i="4" s="1"/>
  <c r="I13" i="4"/>
  <c r="F10" i="4" l="1"/>
  <c r="C14" i="4" s="1"/>
  <c r="C15" i="4" s="1"/>
  <c r="C16" i="4" s="1"/>
  <c r="G34" i="4"/>
  <c r="D27" i="4"/>
  <c r="C27" i="4"/>
  <c r="E25" i="4"/>
  <c r="F25" i="4" s="1"/>
  <c r="F27" i="4" s="1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H23" i="3"/>
  <c r="G23" i="3"/>
  <c r="F23" i="3"/>
  <c r="E23" i="3"/>
  <c r="D23" i="3"/>
  <c r="C23" i="3"/>
  <c r="I21" i="3"/>
  <c r="I23" i="3" s="1"/>
  <c r="D18" i="3"/>
  <c r="C18" i="3"/>
  <c r="C24" i="3" s="1"/>
  <c r="C25" i="3" s="1"/>
  <c r="E16" i="3"/>
  <c r="F16" i="3" s="1"/>
  <c r="G16" i="3" s="1"/>
  <c r="H16" i="3" s="1"/>
  <c r="I16" i="3" s="1"/>
  <c r="E15" i="3"/>
  <c r="E18" i="3" s="1"/>
  <c r="E24" i="3" s="1"/>
  <c r="D12" i="3"/>
  <c r="E12" i="3" s="1"/>
  <c r="F12" i="3" s="1"/>
  <c r="G12" i="3" s="1"/>
  <c r="H12" i="3" s="1"/>
  <c r="I12" i="3" s="1"/>
  <c r="I17" i="2"/>
  <c r="I18" i="2" s="1"/>
  <c r="H17" i="2"/>
  <c r="H18" i="2" s="1"/>
  <c r="G17" i="2"/>
  <c r="F17" i="2"/>
  <c r="E17" i="2"/>
  <c r="E18" i="2" s="1"/>
  <c r="E20" i="2" s="1"/>
  <c r="D17" i="2"/>
  <c r="D18" i="2" s="1"/>
  <c r="D20" i="2" s="1"/>
  <c r="C17" i="2"/>
  <c r="I14" i="2"/>
  <c r="H14" i="2"/>
  <c r="G14" i="2"/>
  <c r="F14" i="2"/>
  <c r="E14" i="2"/>
  <c r="D14" i="2"/>
  <c r="C14" i="2"/>
  <c r="D11" i="2"/>
  <c r="E11" i="2" s="1"/>
  <c r="E22" i="2" s="1"/>
  <c r="I14" i="1"/>
  <c r="H14" i="1"/>
  <c r="G14" i="1"/>
  <c r="G15" i="1" s="1"/>
  <c r="F14" i="1"/>
  <c r="E14" i="1"/>
  <c r="D14" i="1"/>
  <c r="C14" i="1"/>
  <c r="C15" i="1" s="1"/>
  <c r="C16" i="1" s="1"/>
  <c r="I11" i="1"/>
  <c r="H11" i="1"/>
  <c r="G11" i="1"/>
  <c r="F11" i="1"/>
  <c r="E11" i="1"/>
  <c r="D11" i="1"/>
  <c r="C11" i="1"/>
  <c r="D8" i="1"/>
  <c r="E8" i="1" s="1"/>
  <c r="F8" i="1" s="1"/>
  <c r="G8" i="1" s="1"/>
  <c r="H8" i="1" s="1"/>
  <c r="I8" i="1" s="1"/>
  <c r="F28" i="4" l="1"/>
  <c r="F30" i="4" s="1"/>
  <c r="C28" i="4"/>
  <c r="C29" i="4" s="1"/>
  <c r="C31" i="4" s="1"/>
  <c r="D15" i="1"/>
  <c r="D16" i="1" s="1"/>
  <c r="E16" i="1" s="1"/>
  <c r="F16" i="1" s="1"/>
  <c r="G16" i="1" s="1"/>
  <c r="H16" i="1" s="1"/>
  <c r="I16" i="1" s="1"/>
  <c r="H15" i="1"/>
  <c r="E15" i="1"/>
  <c r="I15" i="1"/>
  <c r="F15" i="1"/>
  <c r="F18" i="2"/>
  <c r="C18" i="2"/>
  <c r="C19" i="2" s="1"/>
  <c r="D19" i="2" s="1"/>
  <c r="E19" i="2" s="1"/>
  <c r="F19" i="2" s="1"/>
  <c r="G19" i="2" s="1"/>
  <c r="H19" i="2" s="1"/>
  <c r="I19" i="2" s="1"/>
  <c r="G18" i="2"/>
  <c r="F15" i="3"/>
  <c r="D24" i="3"/>
  <c r="E27" i="4"/>
  <c r="E28" i="4" s="1"/>
  <c r="E30" i="4" s="1"/>
  <c r="D28" i="4"/>
  <c r="D30" i="4" s="1"/>
  <c r="D31" i="4" s="1"/>
  <c r="D27" i="3"/>
  <c r="E27" i="3"/>
  <c r="C23" i="2"/>
  <c r="D23" i="2" s="1"/>
  <c r="E23" i="2" s="1"/>
  <c r="C20" i="2"/>
  <c r="F18" i="3"/>
  <c r="F24" i="3" s="1"/>
  <c r="F27" i="3" s="1"/>
  <c r="D25" i="3"/>
  <c r="E25" i="3" s="1"/>
  <c r="C28" i="3"/>
  <c r="D28" i="3" s="1"/>
  <c r="E28" i="3" s="1"/>
  <c r="C27" i="3"/>
  <c r="F11" i="2"/>
  <c r="D22" i="2"/>
  <c r="G25" i="4"/>
  <c r="G15" i="3"/>
  <c r="E31" i="4" l="1"/>
  <c r="F31" i="4" s="1"/>
  <c r="D29" i="4"/>
  <c r="E29" i="4" s="1"/>
  <c r="F29" i="4" s="1"/>
  <c r="F28" i="3"/>
  <c r="G11" i="2"/>
  <c r="F22" i="2"/>
  <c r="F25" i="3"/>
  <c r="G18" i="3"/>
  <c r="G24" i="3" s="1"/>
  <c r="G27" i="3" s="1"/>
  <c r="H15" i="3"/>
  <c r="G27" i="4"/>
  <c r="G28" i="4" s="1"/>
  <c r="G30" i="4" s="1"/>
  <c r="H25" i="4"/>
  <c r="F20" i="2"/>
  <c r="F23" i="2" s="1"/>
  <c r="G31" i="4" l="1"/>
  <c r="G28" i="3"/>
  <c r="G29" i="4"/>
  <c r="H28" i="3"/>
  <c r="I28" i="3" s="1"/>
  <c r="I15" i="3"/>
  <c r="I18" i="3" s="1"/>
  <c r="I24" i="3" s="1"/>
  <c r="I27" i="3" s="1"/>
  <c r="H18" i="3"/>
  <c r="H24" i="3" s="1"/>
  <c r="H27" i="3" s="1"/>
  <c r="G25" i="3"/>
  <c r="I25" i="4"/>
  <c r="H27" i="4"/>
  <c r="H28" i="4" s="1"/>
  <c r="H30" i="4" s="1"/>
  <c r="G22" i="2"/>
  <c r="H11" i="2"/>
  <c r="G20" i="2"/>
  <c r="G23" i="2" s="1"/>
  <c r="H31" i="4" l="1"/>
  <c r="H22" i="2"/>
  <c r="I11" i="2"/>
  <c r="H20" i="2"/>
  <c r="H23" i="2" s="1"/>
  <c r="H29" i="4"/>
  <c r="I27" i="4"/>
  <c r="I28" i="4" s="1"/>
  <c r="I30" i="4" s="1"/>
  <c r="J25" i="4"/>
  <c r="H25" i="3"/>
  <c r="I25" i="3" s="1"/>
  <c r="I31" i="4" l="1"/>
  <c r="I29" i="4"/>
  <c r="J27" i="4"/>
  <c r="J28" i="4" s="1"/>
  <c r="J30" i="4" s="1"/>
  <c r="J31" i="4" s="1"/>
  <c r="K25" i="4"/>
  <c r="I22" i="2"/>
  <c r="I20" i="2"/>
  <c r="I23" i="2" s="1"/>
  <c r="K27" i="4" l="1"/>
  <c r="K28" i="4" s="1"/>
  <c r="K30" i="4" s="1"/>
  <c r="K31" i="4" s="1"/>
  <c r="L25" i="4"/>
  <c r="J29" i="4"/>
  <c r="K29" i="4" l="1"/>
  <c r="M25" i="4"/>
  <c r="L27" i="4"/>
  <c r="L28" i="4" s="1"/>
  <c r="L30" i="4" s="1"/>
  <c r="L31" i="4" s="1"/>
  <c r="L29" i="4" l="1"/>
  <c r="N25" i="4"/>
  <c r="M27" i="4"/>
  <c r="M28" i="4" s="1"/>
  <c r="M30" i="4" s="1"/>
  <c r="M31" i="4" s="1"/>
  <c r="M29" i="4" l="1"/>
  <c r="N27" i="4"/>
  <c r="N28" i="4" s="1"/>
  <c r="N30" i="4" s="1"/>
  <c r="N31" i="4" s="1"/>
  <c r="O25" i="4"/>
  <c r="O27" i="4" l="1"/>
  <c r="O28" i="4" s="1"/>
  <c r="O30" i="4" s="1"/>
  <c r="O31" i="4" s="1"/>
  <c r="P25" i="4"/>
  <c r="N29" i="4"/>
  <c r="O29" i="4" l="1"/>
  <c r="Q25" i="4"/>
  <c r="P27" i="4"/>
  <c r="P28" i="4" s="1"/>
  <c r="P30" i="4" s="1"/>
  <c r="P31" i="4" s="1"/>
  <c r="P29" i="4" l="1"/>
  <c r="Q27" i="4"/>
  <c r="Q28" i="4" s="1"/>
  <c r="Q30" i="4" s="1"/>
  <c r="Q31" i="4" s="1"/>
  <c r="R25" i="4"/>
  <c r="Q29" i="4" l="1"/>
  <c r="S25" i="4"/>
  <c r="R27" i="4"/>
  <c r="R28" i="4" s="1"/>
  <c r="R30" i="4" s="1"/>
  <c r="R31" i="4" s="1"/>
  <c r="R29" i="4" l="1"/>
  <c r="S27" i="4"/>
  <c r="S28" i="4" s="1"/>
  <c r="S30" i="4" s="1"/>
  <c r="S31" i="4" s="1"/>
  <c r="T25" i="4"/>
  <c r="S29" i="4" l="1"/>
  <c r="U25" i="4"/>
  <c r="T27" i="4"/>
  <c r="T28" i="4" s="1"/>
  <c r="T30" i="4" s="1"/>
  <c r="T31" i="4" s="1"/>
  <c r="T29" i="4" l="1"/>
  <c r="U27" i="4"/>
  <c r="U28" i="4" s="1"/>
  <c r="U30" i="4" s="1"/>
  <c r="U31" i="4" s="1"/>
  <c r="V25" i="4"/>
  <c r="U29" i="4" l="1"/>
  <c r="V27" i="4"/>
  <c r="V28" i="4" s="1"/>
  <c r="V30" i="4" s="1"/>
  <c r="V31" i="4" s="1"/>
  <c r="W25" i="4"/>
  <c r="V29" i="4" l="1"/>
  <c r="W27" i="4"/>
  <c r="W28" i="4" s="1"/>
  <c r="W30" i="4" s="1"/>
  <c r="W31" i="4" s="1"/>
  <c r="X25" i="4"/>
  <c r="W29" i="4" l="1"/>
  <c r="Y25" i="4"/>
  <c r="X27" i="4"/>
  <c r="X28" i="4" s="1"/>
  <c r="X30" i="4" s="1"/>
  <c r="X31" i="4" s="1"/>
  <c r="X29" i="4" l="1"/>
  <c r="Y27" i="4"/>
  <c r="Y28" i="4" s="1"/>
  <c r="Y30" i="4" s="1"/>
  <c r="Y31" i="4" s="1"/>
  <c r="Z25" i="4"/>
  <c r="Y29" i="4" l="1"/>
  <c r="Z27" i="4"/>
  <c r="Z28" i="4" s="1"/>
  <c r="Z30" i="4" s="1"/>
  <c r="Z31" i="4" s="1"/>
  <c r="AA25" i="4"/>
  <c r="AA27" i="4" l="1"/>
  <c r="AA28" i="4" s="1"/>
  <c r="AA30" i="4" s="1"/>
  <c r="AA31" i="4" s="1"/>
  <c r="AB25" i="4"/>
  <c r="Z29" i="4"/>
  <c r="AA29" i="4" l="1"/>
  <c r="AC25" i="4"/>
  <c r="AB27" i="4"/>
  <c r="AB28" i="4" s="1"/>
  <c r="AB30" i="4" s="1"/>
  <c r="AB31" i="4" s="1"/>
  <c r="AD25" i="4" l="1"/>
  <c r="AC27" i="4"/>
  <c r="AC28" i="4" s="1"/>
  <c r="AC30" i="4" s="1"/>
  <c r="AC31" i="4" s="1"/>
  <c r="AB29" i="4"/>
  <c r="AC29" i="4" l="1"/>
  <c r="AD27" i="4"/>
  <c r="AD28" i="4" s="1"/>
  <c r="AD30" i="4" s="1"/>
  <c r="AD31" i="4" s="1"/>
  <c r="AE25" i="4"/>
  <c r="AD29" i="4" l="1"/>
  <c r="AE27" i="4"/>
  <c r="AE28" i="4" s="1"/>
  <c r="AE30" i="4" s="1"/>
  <c r="AE31" i="4" s="1"/>
  <c r="AF25" i="4"/>
  <c r="AE29" i="4" l="1"/>
  <c r="AG25" i="4"/>
  <c r="AF27" i="4"/>
  <c r="AF28" i="4" s="1"/>
  <c r="AF30" i="4" s="1"/>
  <c r="AF31" i="4" s="1"/>
  <c r="AF29" i="4" l="1"/>
  <c r="AG27" i="4"/>
  <c r="AG28" i="4" s="1"/>
  <c r="AG30" i="4" s="1"/>
  <c r="AG31" i="4" s="1"/>
  <c r="AH25" i="4"/>
  <c r="AG29" i="4" l="1"/>
  <c r="AI25" i="4"/>
  <c r="AH27" i="4"/>
  <c r="AH28" i="4" s="1"/>
  <c r="AH30" i="4" s="1"/>
  <c r="AH31" i="4" s="1"/>
  <c r="AH29" i="4" l="1"/>
  <c r="AI27" i="4"/>
  <c r="AI28" i="4" s="1"/>
  <c r="AI30" i="4" s="1"/>
  <c r="AI31" i="4" s="1"/>
  <c r="AJ25" i="4"/>
  <c r="AI29" i="4" l="1"/>
  <c r="AK25" i="4"/>
  <c r="AJ27" i="4"/>
  <c r="AJ28" i="4" s="1"/>
  <c r="AJ30" i="4" s="1"/>
  <c r="AJ31" i="4" s="1"/>
  <c r="AJ29" i="4" l="1"/>
  <c r="AK27" i="4"/>
  <c r="AK28" i="4" s="1"/>
  <c r="AK30" i="4" s="1"/>
  <c r="AK31" i="4" s="1"/>
  <c r="AL25" i="4"/>
  <c r="AL27" i="4" l="1"/>
  <c r="AL28" i="4" s="1"/>
  <c r="AL30" i="4" s="1"/>
  <c r="AL31" i="4" s="1"/>
  <c r="AM25" i="4"/>
  <c r="AK29" i="4"/>
  <c r="AL29" i="4" l="1"/>
  <c r="AM27" i="4"/>
  <c r="AM28" i="4" s="1"/>
  <c r="AM30" i="4" s="1"/>
  <c r="AM31" i="4" s="1"/>
  <c r="AN25" i="4"/>
  <c r="AM29" i="4" l="1"/>
  <c r="AO25" i="4"/>
  <c r="AN27" i="4"/>
  <c r="AN28" i="4" s="1"/>
  <c r="AN30" i="4" s="1"/>
  <c r="AN31" i="4" s="1"/>
  <c r="AO27" i="4" l="1"/>
  <c r="AO28" i="4" s="1"/>
  <c r="AO30" i="4" s="1"/>
  <c r="AO31" i="4" s="1"/>
  <c r="AP25" i="4"/>
  <c r="AN29" i="4"/>
  <c r="AP27" i="4" l="1"/>
  <c r="AP28" i="4" s="1"/>
  <c r="AP30" i="4" s="1"/>
  <c r="AP31" i="4" s="1"/>
  <c r="AQ25" i="4"/>
  <c r="AO29" i="4"/>
  <c r="AP29" i="4" l="1"/>
  <c r="AQ27" i="4"/>
  <c r="AQ28" i="4" s="1"/>
  <c r="AQ30" i="4" s="1"/>
  <c r="AQ31" i="4" s="1"/>
  <c r="AR25" i="4"/>
  <c r="AQ29" i="4" l="1"/>
  <c r="AS25" i="4"/>
  <c r="AR27" i="4"/>
  <c r="AR28" i="4" s="1"/>
  <c r="AR30" i="4" s="1"/>
  <c r="AR31" i="4" s="1"/>
  <c r="AR29" i="4" l="1"/>
  <c r="AT25" i="4"/>
  <c r="AS27" i="4"/>
  <c r="AS28" i="4" s="1"/>
  <c r="AS30" i="4" s="1"/>
  <c r="AS31" i="4" s="1"/>
  <c r="AT27" i="4" l="1"/>
  <c r="AT28" i="4" s="1"/>
  <c r="AT30" i="4" s="1"/>
  <c r="AT31" i="4" s="1"/>
  <c r="AU25" i="4"/>
  <c r="AS29" i="4"/>
  <c r="AT29" i="4" l="1"/>
  <c r="AU27" i="4"/>
  <c r="AU28" i="4" s="1"/>
  <c r="AU30" i="4" s="1"/>
  <c r="AU31" i="4" s="1"/>
  <c r="AV25" i="4"/>
  <c r="AW25" i="4" l="1"/>
  <c r="AV27" i="4"/>
  <c r="AV28" i="4" s="1"/>
  <c r="AV30" i="4" s="1"/>
  <c r="AV31" i="4" s="1"/>
  <c r="AU29" i="4"/>
  <c r="AV29" i="4" l="1"/>
  <c r="AW27" i="4"/>
  <c r="AW28" i="4" s="1"/>
  <c r="AW30" i="4" s="1"/>
  <c r="AW31" i="4" s="1"/>
  <c r="AX25" i="4"/>
  <c r="AW29" i="4" l="1"/>
  <c r="AY25" i="4"/>
  <c r="AX27" i="4"/>
  <c r="AX28" i="4" s="1"/>
  <c r="AX30" i="4" s="1"/>
  <c r="AX31" i="4" s="1"/>
  <c r="AY27" i="4" l="1"/>
  <c r="AY28" i="4" s="1"/>
  <c r="AY30" i="4" s="1"/>
  <c r="AY31" i="4" s="1"/>
  <c r="AZ25" i="4"/>
  <c r="AX29" i="4"/>
  <c r="AY29" i="4" l="1"/>
  <c r="BA25" i="4"/>
  <c r="AZ27" i="4"/>
  <c r="AZ28" i="4" s="1"/>
  <c r="AZ30" i="4" s="1"/>
  <c r="AZ31" i="4" s="1"/>
  <c r="AZ29" i="4" l="1"/>
  <c r="BA27" i="4"/>
  <c r="BA28" i="4" s="1"/>
  <c r="BA30" i="4" s="1"/>
  <c r="BA31" i="4" s="1"/>
  <c r="BB25" i="4"/>
  <c r="BA29" i="4" l="1"/>
  <c r="BB27" i="4"/>
  <c r="BB28" i="4" s="1"/>
  <c r="BB30" i="4" s="1"/>
  <c r="BB31" i="4" s="1"/>
  <c r="BC25" i="4"/>
  <c r="BC27" i="4" l="1"/>
  <c r="BC28" i="4" s="1"/>
  <c r="BC30" i="4" s="1"/>
  <c r="BC31" i="4" s="1"/>
  <c r="BD25" i="4"/>
  <c r="BD27" i="4" s="1"/>
  <c r="BD28" i="4" s="1"/>
  <c r="BD30" i="4" s="1"/>
  <c r="BB29" i="4"/>
  <c r="BC29" i="4" l="1"/>
  <c r="BD29" i="4" s="1"/>
  <c r="BD31" i="4"/>
</calcChain>
</file>

<file path=xl/sharedStrings.xml><?xml version="1.0" encoding="utf-8"?>
<sst xmlns="http://schemas.openxmlformats.org/spreadsheetml/2006/main" count="119" uniqueCount="72">
  <si>
    <t>Um empréstimo de $3.000 é solicitado, propondo-se pagá-lo da seguinte forma:</t>
  </si>
  <si>
    <t>(a) mês 01 e 02: R$ 650</t>
  </si>
  <si>
    <t>(2) mês 03 e 04: R$ 600</t>
  </si>
  <si>
    <t>(3) mês 05 e 06: R$ 500</t>
  </si>
  <si>
    <t>Fluxo de caixa</t>
  </si>
  <si>
    <t>Período</t>
  </si>
  <si>
    <t>saída de caixa</t>
  </si>
  <si>
    <t>&gt;&gt; concessão do empréstimo</t>
  </si>
  <si>
    <t>sub-total saídas</t>
  </si>
  <si>
    <t>entrada de caixa</t>
  </si>
  <si>
    <t>&gt;&gt; pagamento das parcelas</t>
  </si>
  <si>
    <t>sub-total entradas</t>
  </si>
  <si>
    <t>fluxo de caixa</t>
  </si>
  <si>
    <t>FC acumulado = saldo</t>
  </si>
  <si>
    <t xml:space="preserve">Pay-back simples = </t>
  </si>
  <si>
    <t>meses</t>
  </si>
  <si>
    <t>Determinar o "payback time" descontado, considerando uma taxa de 1% a.m.</t>
  </si>
  <si>
    <t xml:space="preserve">taxa = </t>
  </si>
  <si>
    <t>a.m.</t>
  </si>
  <si>
    <t>&gt;&gt; custo de oportunidade: p. ex., taxa de retorno de um investimento alternativo</t>
  </si>
  <si>
    <t>&gt;&gt; esta taxa é chamada TMA: taxa mínima de atratividade</t>
  </si>
  <si>
    <t>FC simples</t>
  </si>
  <si>
    <t>FC acumulado</t>
  </si>
  <si>
    <t>FC descontado</t>
  </si>
  <si>
    <t>&gt;&gt; usando a relação de equivalência F/P</t>
  </si>
  <si>
    <t>&gt;&gt; é o valor presente equivalente ao valor futuro (no período n)</t>
  </si>
  <si>
    <t>&gt;&gt; usando a função VP</t>
  </si>
  <si>
    <t>FC descontado, acumulado</t>
  </si>
  <si>
    <t xml:space="preserve">Pay-back descontado = </t>
  </si>
  <si>
    <t>&gt;&gt; sempre maior do que o tempo de pay-back simples</t>
  </si>
  <si>
    <t xml:space="preserve">Pretende-se investir $10mil na aquisição de uma máquina de estampar camisas, que será utilizada pelo prazo de 6 meses. </t>
  </si>
  <si>
    <t xml:space="preserve">A produção tem uma demanda garantida da ordem de R$3mil/mês. </t>
  </si>
  <si>
    <t xml:space="preserve">O custo de operação da máquina (energia elétrica, acessórios, entre outros) é estimado em R$500/mês. </t>
  </si>
  <si>
    <t>O custo com insumos (tintas, vernizes, etc.) é estimado em R$500/mês</t>
  </si>
  <si>
    <t xml:space="preserve">Ao final do período, estima-se que a máquina possa ser vendida por 20% do preço de nova. </t>
  </si>
  <si>
    <t>Montar o fluxo de caixa, determinar o "payback time" simples e o "payback descontado"</t>
  </si>
  <si>
    <t>Utilizar como referência uma taxa de juros de 1% a.m.</t>
  </si>
  <si>
    <t>aquisição da máquina</t>
  </si>
  <si>
    <t>custo de operação</t>
  </si>
  <si>
    <t>insumos</t>
  </si>
  <si>
    <t>vendas</t>
  </si>
  <si>
    <t>venda da máquina</t>
  </si>
  <si>
    <t>fluxo de caixa simples</t>
  </si>
  <si>
    <t>Taxa de desconto:</t>
  </si>
  <si>
    <t xml:space="preserve">Pretende-se investir R$12.000 na implantação de uma mini-usina de geração fotovoltaica residencial. </t>
  </si>
  <si>
    <t xml:space="preserve">A economia na tarifa de energia elétrica mensal é estimada em R$300. </t>
  </si>
  <si>
    <t>FC descontado acumulado</t>
  </si>
  <si>
    <t>Pay-back descontado =</t>
  </si>
  <si>
    <t>por interpolação linear:</t>
  </si>
  <si>
    <t xml:space="preserve">meses e </t>
  </si>
  <si>
    <t>dias</t>
  </si>
  <si>
    <t>a.a.</t>
  </si>
  <si>
    <t xml:space="preserve">i = </t>
  </si>
  <si>
    <t xml:space="preserve">n = </t>
  </si>
  <si>
    <t xml:space="preserve">A = </t>
  </si>
  <si>
    <t>horas</t>
  </si>
  <si>
    <t>&gt;&gt; iterar o número de meses até que o P/A calculado seja igual ao P/A dado</t>
  </si>
  <si>
    <t xml:space="preserve">P/A(calc) = </t>
  </si>
  <si>
    <t>tempo de payback descontado</t>
  </si>
  <si>
    <t xml:space="preserve">P/A = </t>
  </si>
  <si>
    <t xml:space="preserve">n = P/A = </t>
  </si>
  <si>
    <t>payback simples</t>
  </si>
  <si>
    <t>Investimento = P =</t>
  </si>
  <si>
    <t xml:space="preserve">P(calc) = </t>
  </si>
  <si>
    <t>&gt;&gt; conferindo que VP = investimento</t>
  </si>
  <si>
    <t>Cálculo alternativo (direto)</t>
  </si>
  <si>
    <t>Montar o fluxo de caixa, e determinar o "payback time" simples.</t>
  </si>
  <si>
    <t>Determine o tempo de payback simples.</t>
  </si>
  <si>
    <t xml:space="preserve">Determine o tempo de payback descontado. </t>
  </si>
  <si>
    <t>Utilizar como referência uma taxa de juros de 14,9% a.a.</t>
  </si>
  <si>
    <t xml:space="preserve">taxa de desconto = </t>
  </si>
  <si>
    <t>Utilizando o fluxo de caixa: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</si>
</sst>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i/>
      <sz val="10"/>
      <color rgb="FFFF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CD5B5"/>
        <bgColor rgb="FFD7E4BD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11" fillId="0" borderId="0" applyBorder="0" applyProtection="0"/>
    <xf numFmtId="0" fontId="2" fillId="0" borderId="0"/>
    <xf numFmtId="9" fontId="11" fillId="0" borderId="0" applyBorder="0" applyProtection="0"/>
    <xf numFmtId="0" fontId="1" fillId="0" borderId="0"/>
    <xf numFmtId="9" fontId="10" fillId="0" borderId="0" applyFont="0" applyFill="0" applyBorder="0" applyAlignment="0" applyProtection="0"/>
    <xf numFmtId="0" fontId="10" fillId="0" borderId="0"/>
  </cellStyleXfs>
  <cellXfs count="4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0" fontId="3" fillId="0" borderId="2" xfId="0" applyFont="1" applyBorder="1"/>
    <xf numFmtId="4" fontId="3" fillId="0" borderId="2" xfId="0" applyNumberFormat="1" applyFont="1" applyBorder="1"/>
    <xf numFmtId="0" fontId="3" fillId="0" borderId="3" xfId="0" applyFont="1" applyBorder="1"/>
    <xf numFmtId="4" fontId="3" fillId="0" borderId="3" xfId="0" applyNumberFormat="1" applyFont="1" applyBorder="1"/>
    <xf numFmtId="4" fontId="3" fillId="0" borderId="1" xfId="0" applyNumberFormat="1" applyFont="1" applyBorder="1"/>
    <xf numFmtId="4" fontId="3" fillId="3" borderId="1" xfId="0" applyNumberFormat="1" applyFont="1" applyFill="1" applyBorder="1"/>
    <xf numFmtId="0" fontId="3" fillId="0" borderId="0" xfId="0" applyFont="1" applyAlignment="1">
      <alignment horizontal="left"/>
    </xf>
    <xf numFmtId="0" fontId="5" fillId="0" borderId="0" xfId="0" applyFont="1"/>
    <xf numFmtId="164" fontId="3" fillId="0" borderId="0" xfId="0" applyNumberFormat="1" applyFont="1"/>
    <xf numFmtId="10" fontId="0" fillId="0" borderId="0" xfId="0" applyNumberFormat="1"/>
    <xf numFmtId="0" fontId="6" fillId="0" borderId="0" xfId="0" applyFont="1"/>
    <xf numFmtId="4" fontId="7" fillId="0" borderId="0" xfId="0" applyNumberFormat="1" applyFont="1"/>
    <xf numFmtId="0" fontId="8" fillId="0" borderId="0" xfId="0" applyFont="1"/>
    <xf numFmtId="0" fontId="9" fillId="0" borderId="0" xfId="0" applyFont="1"/>
    <xf numFmtId="164" fontId="11" fillId="0" borderId="0" xfId="1" applyNumberFormat="1" applyBorder="1" applyProtection="1"/>
    <xf numFmtId="0" fontId="10" fillId="0" borderId="0" xfId="6"/>
    <xf numFmtId="4" fontId="10" fillId="0" borderId="0" xfId="6" applyNumberFormat="1"/>
    <xf numFmtId="10" fontId="10" fillId="0" borderId="0" xfId="6" applyNumberFormat="1"/>
    <xf numFmtId="0" fontId="1" fillId="0" borderId="0" xfId="6" applyFont="1"/>
    <xf numFmtId="0" fontId="10" fillId="4" borderId="0" xfId="6" applyFill="1"/>
    <xf numFmtId="0" fontId="1" fillId="0" borderId="0" xfId="0" applyFont="1"/>
    <xf numFmtId="1" fontId="10" fillId="4" borderId="0" xfId="6" applyNumberFormat="1" applyFill="1"/>
    <xf numFmtId="2" fontId="10" fillId="0" borderId="0" xfId="6" applyNumberFormat="1"/>
    <xf numFmtId="0" fontId="1" fillId="0" borderId="1" xfId="0" applyFont="1" applyBorder="1"/>
    <xf numFmtId="0" fontId="12" fillId="0" borderId="0" xfId="0" applyFont="1"/>
    <xf numFmtId="0" fontId="13" fillId="2" borderId="0" xfId="0" applyFont="1" applyFill="1"/>
    <xf numFmtId="0" fontId="13" fillId="0" borderId="1" xfId="0" applyFont="1" applyBorder="1"/>
    <xf numFmtId="0" fontId="13" fillId="0" borderId="0" xfId="0" applyFont="1"/>
    <xf numFmtId="4" fontId="13" fillId="0" borderId="0" xfId="0" applyNumberFormat="1" applyFont="1"/>
    <xf numFmtId="0" fontId="13" fillId="0" borderId="2" xfId="0" applyFont="1" applyBorder="1"/>
    <xf numFmtId="4" fontId="13" fillId="0" borderId="2" xfId="0" applyNumberFormat="1" applyFont="1" applyBorder="1"/>
    <xf numFmtId="0" fontId="13" fillId="0" borderId="3" xfId="0" applyFont="1" applyBorder="1"/>
    <xf numFmtId="4" fontId="13" fillId="0" borderId="3" xfId="0" applyNumberFormat="1" applyFont="1" applyBorder="1"/>
    <xf numFmtId="4" fontId="13" fillId="0" borderId="1" xfId="0" applyNumberFormat="1" applyFont="1" applyBorder="1"/>
    <xf numFmtId="4" fontId="13" fillId="3" borderId="1" xfId="0" applyNumberFormat="1" applyFont="1" applyFill="1" applyBorder="1"/>
    <xf numFmtId="0" fontId="13" fillId="0" borderId="0" xfId="0" applyFont="1" applyAlignment="1">
      <alignment horizontal="left"/>
    </xf>
    <xf numFmtId="4" fontId="1" fillId="0" borderId="0" xfId="0" applyNumberFormat="1" applyFont="1"/>
    <xf numFmtId="4" fontId="13" fillId="3" borderId="0" xfId="0" applyNumberFormat="1" applyFont="1" applyFill="1"/>
    <xf numFmtId="164" fontId="13" fillId="0" borderId="0" xfId="0" applyNumberFormat="1" applyFont="1"/>
    <xf numFmtId="2" fontId="1" fillId="0" borderId="0" xfId="0" applyNumberFormat="1" applyFont="1"/>
    <xf numFmtId="0" fontId="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</cellXfs>
  <cellStyles count="7">
    <cellStyle name="Normal" xfId="0" builtinId="0"/>
    <cellStyle name="Normal 2" xfId="2" xr:uid="{00000000-0005-0000-0000-000006000000}"/>
    <cellStyle name="Normal 3" xfId="4" xr:uid="{817CB52B-09E9-4CF6-A03D-29163618D169}"/>
    <cellStyle name="Normal 4" xfId="6" xr:uid="{4102ECC0-7228-4BC1-A007-77CB38F3C88A}"/>
    <cellStyle name="Porcentagem" xfId="1" builtinId="5"/>
    <cellStyle name="Porcentagem 2" xfId="3" xr:uid="{00000000-0005-0000-0000-000007000000}"/>
    <cellStyle name="Porcentagem 3" xfId="5" xr:uid="{5E1106C3-5D1C-4B80-B4A2-6B47D0921571}"/>
  </cellStyles>
  <dxfs count="4">
    <dxf>
      <font>
        <color rgb="FFFF0000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401400</xdr:colOff>
      <xdr:row>17</xdr:row>
      <xdr:rowOff>169920</xdr:rowOff>
    </xdr:from>
    <xdr:to>
      <xdr:col>18</xdr:col>
      <xdr:colOff>247</xdr:colOff>
      <xdr:row>21</xdr:row>
      <xdr:rowOff>39960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608480" y="3008520"/>
          <a:ext cx="1419120" cy="631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9708-0FCE-4582-B408-F491542F9A10}">
  <dimension ref="B2:G18"/>
  <sheetViews>
    <sheetView showGridLines="0" tabSelected="1" zoomScale="130" zoomScaleNormal="130" workbookViewId="0">
      <selection activeCell="A5" sqref="A5"/>
    </sheetView>
  </sheetViews>
  <sheetFormatPr defaultColWidth="8.7109375" defaultRowHeight="12.75" x14ac:dyDescent="0.2"/>
  <cols>
    <col min="1" max="1" width="2.7109375" customWidth="1"/>
    <col min="2" max="2" width="20.140625" customWidth="1"/>
    <col min="3" max="7" width="10.42578125" customWidth="1"/>
    <col min="8" max="8" width="10.7109375" customWidth="1"/>
    <col min="9" max="10" width="10.42578125" customWidth="1"/>
    <col min="11" max="44" width="9.28515625" customWidth="1"/>
  </cols>
  <sheetData>
    <row r="2" spans="2:7" x14ac:dyDescent="0.2">
      <c r="B2" s="1" t="s">
        <v>44</v>
      </c>
    </row>
    <row r="3" spans="2:7" x14ac:dyDescent="0.2">
      <c r="B3" s="1" t="s">
        <v>45</v>
      </c>
    </row>
    <row r="4" spans="2:7" x14ac:dyDescent="0.2">
      <c r="B4" s="1" t="s">
        <v>67</v>
      </c>
    </row>
    <row r="5" spans="2:7" x14ac:dyDescent="0.2">
      <c r="B5" s="1"/>
    </row>
    <row r="6" spans="2:7" x14ac:dyDescent="0.2">
      <c r="B6" s="22" t="s">
        <v>62</v>
      </c>
      <c r="C6" s="23">
        <v>12000</v>
      </c>
      <c r="D6" s="22"/>
      <c r="G6" s="22"/>
    </row>
    <row r="7" spans="2:7" x14ac:dyDescent="0.2">
      <c r="B7" s="22" t="s">
        <v>54</v>
      </c>
      <c r="C7" s="23">
        <v>300</v>
      </c>
      <c r="D7" s="22"/>
      <c r="G7" s="22"/>
    </row>
    <row r="8" spans="2:7" x14ac:dyDescent="0.2">
      <c r="B8" s="1"/>
    </row>
    <row r="9" spans="2:7" x14ac:dyDescent="0.2">
      <c r="B9" s="22" t="s">
        <v>61</v>
      </c>
      <c r="C9" s="22"/>
    </row>
    <row r="10" spans="2:7" x14ac:dyDescent="0.2">
      <c r="B10" s="26" t="s">
        <v>60</v>
      </c>
      <c r="C10" s="28">
        <f>C6/C7</f>
        <v>40</v>
      </c>
    </row>
    <row r="11" spans="2:7" x14ac:dyDescent="0.2">
      <c r="B11" s="1"/>
    </row>
    <row r="12" spans="2:7" x14ac:dyDescent="0.2">
      <c r="B12" s="1"/>
    </row>
    <row r="13" spans="2:7" x14ac:dyDescent="0.2">
      <c r="B13" s="1"/>
    </row>
    <row r="14" spans="2:7" x14ac:dyDescent="0.2">
      <c r="B14" s="1"/>
    </row>
    <row r="15" spans="2:7" x14ac:dyDescent="0.2">
      <c r="B15" s="1"/>
    </row>
    <row r="16" spans="2:7" x14ac:dyDescent="0.2">
      <c r="B16" s="1"/>
    </row>
    <row r="17" spans="2:2" x14ac:dyDescent="0.2">
      <c r="B17" s="1"/>
    </row>
    <row r="18" spans="2:2" x14ac:dyDescent="0.2">
      <c r="B18" s="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1"/>
  <sheetViews>
    <sheetView showGridLines="0" zoomScale="130" zoomScaleNormal="130" workbookViewId="0">
      <selection activeCell="B4" sqref="B4"/>
    </sheetView>
  </sheetViews>
  <sheetFormatPr defaultColWidth="8.7109375" defaultRowHeight="12.75" x14ac:dyDescent="0.2"/>
  <cols>
    <col min="1" max="1" width="2.140625" customWidth="1"/>
    <col min="2" max="2" width="22.140625" customWidth="1"/>
    <col min="3" max="3" width="12.85546875" customWidth="1"/>
    <col min="4" max="4" width="10.85546875" customWidth="1"/>
    <col min="6" max="6" width="9.28515625" customWidth="1"/>
    <col min="8" max="8" width="7.140625" customWidth="1"/>
    <col min="10" max="10" width="6.42578125" customWidth="1"/>
  </cols>
  <sheetData>
    <row r="2" spans="2:11" x14ac:dyDescent="0.2">
      <c r="B2" s="1" t="s">
        <v>0</v>
      </c>
    </row>
    <row r="3" spans="2:11" x14ac:dyDescent="0.2">
      <c r="B3" s="1" t="s">
        <v>1</v>
      </c>
      <c r="D3" s="1" t="s">
        <v>2</v>
      </c>
      <c r="G3" s="1" t="s">
        <v>3</v>
      </c>
    </row>
    <row r="4" spans="2:11" ht="6" customHeight="1" x14ac:dyDescent="0.2">
      <c r="B4" s="1"/>
    </row>
    <row r="5" spans="2:11" x14ac:dyDescent="0.2">
      <c r="B5" s="1" t="s">
        <v>66</v>
      </c>
    </row>
    <row r="7" spans="2:11" ht="15" x14ac:dyDescent="0.25">
      <c r="B7" s="47" t="s">
        <v>4</v>
      </c>
      <c r="C7" s="47"/>
      <c r="D7" s="47"/>
      <c r="E7" s="47"/>
      <c r="F7" s="47"/>
      <c r="G7" s="47"/>
      <c r="H7" s="47"/>
      <c r="I7" s="47"/>
    </row>
    <row r="8" spans="2:11" ht="15" x14ac:dyDescent="0.25">
      <c r="B8" s="2" t="s">
        <v>5</v>
      </c>
      <c r="C8" s="3">
        <v>0</v>
      </c>
      <c r="D8" s="3">
        <f t="shared" ref="D8:I8" si="0">C8+1</f>
        <v>1</v>
      </c>
      <c r="E8" s="3">
        <f t="shared" si="0"/>
        <v>2</v>
      </c>
      <c r="F8" s="3">
        <f t="shared" si="0"/>
        <v>3</v>
      </c>
      <c r="G8" s="3">
        <f t="shared" si="0"/>
        <v>4</v>
      </c>
      <c r="H8" s="3">
        <f t="shared" si="0"/>
        <v>5</v>
      </c>
      <c r="I8" s="3">
        <f t="shared" si="0"/>
        <v>6</v>
      </c>
    </row>
    <row r="9" spans="2:11" ht="15" x14ac:dyDescent="0.25">
      <c r="B9" s="4" t="s">
        <v>6</v>
      </c>
      <c r="C9" s="5">
        <v>3000</v>
      </c>
      <c r="D9" s="5"/>
      <c r="E9" s="5"/>
      <c r="F9" s="5"/>
      <c r="G9" s="5"/>
      <c r="H9" s="5"/>
      <c r="I9" s="5"/>
      <c r="K9" s="6" t="s">
        <v>7</v>
      </c>
    </row>
    <row r="10" spans="2:11" ht="15" x14ac:dyDescent="0.25">
      <c r="B10" s="6"/>
      <c r="C10" s="5"/>
      <c r="D10" s="5"/>
      <c r="E10" s="5"/>
      <c r="F10" s="5"/>
      <c r="G10" s="5"/>
      <c r="H10" s="5"/>
      <c r="I10" s="5"/>
    </row>
    <row r="11" spans="2:11" ht="15" x14ac:dyDescent="0.25">
      <c r="B11" s="7" t="s">
        <v>8</v>
      </c>
      <c r="C11" s="8">
        <f t="shared" ref="C11:I11" si="1">SUM(C9:C10)</f>
        <v>3000</v>
      </c>
      <c r="D11" s="8">
        <f t="shared" si="1"/>
        <v>0</v>
      </c>
      <c r="E11" s="8">
        <f t="shared" si="1"/>
        <v>0</v>
      </c>
      <c r="F11" s="8">
        <f t="shared" si="1"/>
        <v>0</v>
      </c>
      <c r="G11" s="8">
        <f t="shared" si="1"/>
        <v>0</v>
      </c>
      <c r="H11" s="8">
        <f t="shared" si="1"/>
        <v>0</v>
      </c>
      <c r="I11" s="8">
        <f t="shared" si="1"/>
        <v>0</v>
      </c>
    </row>
    <row r="12" spans="2:11" ht="15" x14ac:dyDescent="0.25">
      <c r="B12" s="4" t="s">
        <v>9</v>
      </c>
      <c r="C12" s="5"/>
      <c r="D12" s="5">
        <v>650</v>
      </c>
      <c r="E12" s="5">
        <v>650</v>
      </c>
      <c r="F12" s="5">
        <v>600</v>
      </c>
      <c r="G12" s="5">
        <v>600</v>
      </c>
      <c r="H12" s="5">
        <v>500</v>
      </c>
      <c r="I12" s="5">
        <v>500</v>
      </c>
      <c r="K12" s="6" t="s">
        <v>10</v>
      </c>
    </row>
    <row r="13" spans="2:11" ht="15" x14ac:dyDescent="0.25">
      <c r="B13" s="4"/>
      <c r="D13" s="5"/>
      <c r="E13" s="5"/>
      <c r="F13" s="5"/>
      <c r="G13" s="5"/>
      <c r="H13" s="5"/>
    </row>
    <row r="14" spans="2:11" ht="15" x14ac:dyDescent="0.25">
      <c r="B14" s="7" t="s">
        <v>11</v>
      </c>
      <c r="C14" s="8">
        <f t="shared" ref="C14:I14" si="2">SUM(C12:C13)</f>
        <v>0</v>
      </c>
      <c r="D14" s="8">
        <f t="shared" si="2"/>
        <v>650</v>
      </c>
      <c r="E14" s="8">
        <f t="shared" si="2"/>
        <v>650</v>
      </c>
      <c r="F14" s="8">
        <f t="shared" si="2"/>
        <v>600</v>
      </c>
      <c r="G14" s="8">
        <f t="shared" si="2"/>
        <v>600</v>
      </c>
      <c r="H14" s="8">
        <f t="shared" si="2"/>
        <v>500</v>
      </c>
      <c r="I14" s="8">
        <f t="shared" si="2"/>
        <v>500</v>
      </c>
    </row>
    <row r="15" spans="2:11" ht="15" x14ac:dyDescent="0.25">
      <c r="B15" s="9" t="s">
        <v>12</v>
      </c>
      <c r="C15" s="10">
        <f t="shared" ref="C15:I15" si="3">C14-C11</f>
        <v>-3000</v>
      </c>
      <c r="D15" s="10">
        <f t="shared" si="3"/>
        <v>650</v>
      </c>
      <c r="E15" s="10">
        <f t="shared" si="3"/>
        <v>650</v>
      </c>
      <c r="F15" s="10">
        <f t="shared" si="3"/>
        <v>600</v>
      </c>
      <c r="G15" s="10">
        <f t="shared" si="3"/>
        <v>600</v>
      </c>
      <c r="H15" s="10">
        <f t="shared" si="3"/>
        <v>500</v>
      </c>
      <c r="I15" s="10">
        <f t="shared" si="3"/>
        <v>500</v>
      </c>
    </row>
    <row r="16" spans="2:11" ht="15" x14ac:dyDescent="0.25">
      <c r="B16" s="3" t="s">
        <v>13</v>
      </c>
      <c r="C16" s="11">
        <f>C15</f>
        <v>-3000</v>
      </c>
      <c r="D16" s="11">
        <f t="shared" ref="D16:I16" si="4">C16+D15</f>
        <v>-2350</v>
      </c>
      <c r="E16" s="11">
        <f t="shared" si="4"/>
        <v>-1700</v>
      </c>
      <c r="F16" s="11">
        <f t="shared" si="4"/>
        <v>-1100</v>
      </c>
      <c r="G16" s="11">
        <f t="shared" si="4"/>
        <v>-500</v>
      </c>
      <c r="H16" s="12">
        <f t="shared" si="4"/>
        <v>0</v>
      </c>
      <c r="I16" s="11">
        <f t="shared" si="4"/>
        <v>500</v>
      </c>
    </row>
    <row r="17" spans="2:7" ht="15" x14ac:dyDescent="0.25">
      <c r="B17" s="13"/>
      <c r="C17" s="14"/>
      <c r="D17" s="15"/>
      <c r="E17" s="15"/>
      <c r="F17" s="15"/>
      <c r="G17" s="15"/>
    </row>
    <row r="18" spans="2:7" ht="15" x14ac:dyDescent="0.25">
      <c r="B18" s="14" t="s">
        <v>14</v>
      </c>
      <c r="C18" s="14">
        <v>5</v>
      </c>
      <c r="D18" s="14" t="s">
        <v>15</v>
      </c>
      <c r="E18" s="14"/>
      <c r="F18" s="14"/>
      <c r="G18" s="14"/>
    </row>
    <row r="20" spans="2:7" x14ac:dyDescent="0.2">
      <c r="B20" s="27" t="s">
        <v>65</v>
      </c>
    </row>
    <row r="21" spans="2:7" x14ac:dyDescent="0.2">
      <c r="B21" s="27" t="s">
        <v>60</v>
      </c>
    </row>
  </sheetData>
  <mergeCells count="1">
    <mergeCell ref="B7:I7"/>
  </mergeCells>
  <conditionalFormatting sqref="D17:G17">
    <cfRule type="cellIs" dxfId="3" priority="2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6"/>
  <sheetViews>
    <sheetView showGridLines="0" zoomScale="130" zoomScaleNormal="130" workbookViewId="0">
      <selection activeCell="D1" sqref="D1"/>
    </sheetView>
  </sheetViews>
  <sheetFormatPr defaultColWidth="8.7109375" defaultRowHeight="12.75" x14ac:dyDescent="0.2"/>
  <cols>
    <col min="1" max="1" width="2.42578125" customWidth="1"/>
    <col min="2" max="2" width="24.5703125" customWidth="1"/>
    <col min="3" max="3" width="11.140625" customWidth="1"/>
    <col min="4" max="4" width="10.7109375" customWidth="1"/>
    <col min="5" max="5" width="9.140625" customWidth="1"/>
    <col min="6" max="8" width="9.28515625" customWidth="1"/>
    <col min="10" max="10" width="6.28515625" customWidth="1"/>
    <col min="11" max="11" width="11.7109375" customWidth="1"/>
  </cols>
  <sheetData>
    <row r="2" spans="2:9" x14ac:dyDescent="0.2">
      <c r="B2" s="1" t="s">
        <v>0</v>
      </c>
    </row>
    <row r="3" spans="2:9" x14ac:dyDescent="0.2">
      <c r="B3" s="1" t="s">
        <v>1</v>
      </c>
      <c r="D3" s="1" t="s">
        <v>2</v>
      </c>
      <c r="G3" s="1" t="s">
        <v>3</v>
      </c>
    </row>
    <row r="4" spans="2:9" ht="8.25" customHeight="1" x14ac:dyDescent="0.2">
      <c r="B4" s="1"/>
    </row>
    <row r="5" spans="2:9" x14ac:dyDescent="0.2">
      <c r="B5" s="1" t="s">
        <v>16</v>
      </c>
    </row>
    <row r="6" spans="2:9" ht="6" customHeight="1" x14ac:dyDescent="0.2">
      <c r="B6" s="1"/>
    </row>
    <row r="7" spans="2:9" x14ac:dyDescent="0.2">
      <c r="B7" t="s">
        <v>17</v>
      </c>
      <c r="C7" s="16">
        <v>0.01</v>
      </c>
      <c r="D7" t="s">
        <v>18</v>
      </c>
      <c r="E7" s="1" t="s">
        <v>19</v>
      </c>
    </row>
    <row r="8" spans="2:9" x14ac:dyDescent="0.2">
      <c r="C8" s="16"/>
      <c r="E8" s="17" t="s">
        <v>20</v>
      </c>
    </row>
    <row r="10" spans="2:9" ht="15" x14ac:dyDescent="0.25">
      <c r="B10" s="47" t="s">
        <v>4</v>
      </c>
      <c r="C10" s="47"/>
      <c r="D10" s="47"/>
      <c r="E10" s="47"/>
      <c r="F10" s="47"/>
      <c r="G10" s="47"/>
      <c r="H10" s="47"/>
      <c r="I10" s="47"/>
    </row>
    <row r="11" spans="2:9" ht="15" x14ac:dyDescent="0.25">
      <c r="B11" s="2" t="s">
        <v>5</v>
      </c>
      <c r="C11" s="3">
        <v>0</v>
      </c>
      <c r="D11" s="3">
        <f t="shared" ref="D11:I11" si="0">C11+1</f>
        <v>1</v>
      </c>
      <c r="E11" s="3">
        <f t="shared" si="0"/>
        <v>2</v>
      </c>
      <c r="F11" s="3">
        <f t="shared" si="0"/>
        <v>3</v>
      </c>
      <c r="G11" s="3">
        <f t="shared" si="0"/>
        <v>4</v>
      </c>
      <c r="H11" s="3">
        <f t="shared" si="0"/>
        <v>5</v>
      </c>
      <c r="I11" s="3">
        <f t="shared" si="0"/>
        <v>6</v>
      </c>
    </row>
    <row r="12" spans="2:9" ht="15" x14ac:dyDescent="0.25">
      <c r="B12" s="4" t="s">
        <v>6</v>
      </c>
      <c r="C12" s="5">
        <v>3000</v>
      </c>
      <c r="D12" s="5"/>
      <c r="E12" s="5"/>
      <c r="F12" s="5"/>
      <c r="G12" s="5"/>
      <c r="H12" s="5"/>
      <c r="I12" s="5"/>
    </row>
    <row r="13" spans="2:9" ht="15" x14ac:dyDescent="0.25">
      <c r="B13" s="4"/>
      <c r="C13" s="5"/>
      <c r="D13" s="5"/>
      <c r="E13" s="5"/>
      <c r="F13" s="5"/>
      <c r="G13" s="5"/>
      <c r="H13" s="5"/>
      <c r="I13" s="5"/>
    </row>
    <row r="14" spans="2:9" ht="15" x14ac:dyDescent="0.25">
      <c r="B14" s="7" t="s">
        <v>8</v>
      </c>
      <c r="C14" s="8">
        <f t="shared" ref="C14:I14" si="1">SUM(C12:C13)</f>
        <v>3000</v>
      </c>
      <c r="D14" s="8">
        <f t="shared" si="1"/>
        <v>0</v>
      </c>
      <c r="E14" s="8">
        <f t="shared" si="1"/>
        <v>0</v>
      </c>
      <c r="F14" s="8">
        <f t="shared" si="1"/>
        <v>0</v>
      </c>
      <c r="G14" s="8">
        <f t="shared" si="1"/>
        <v>0</v>
      </c>
      <c r="H14" s="8">
        <f t="shared" si="1"/>
        <v>0</v>
      </c>
      <c r="I14" s="8">
        <f t="shared" si="1"/>
        <v>0</v>
      </c>
    </row>
    <row r="15" spans="2:9" ht="15" x14ac:dyDescent="0.25">
      <c r="B15" s="4" t="s">
        <v>9</v>
      </c>
      <c r="C15" s="5"/>
      <c r="D15" s="5">
        <v>650</v>
      </c>
      <c r="E15" s="5">
        <v>650</v>
      </c>
      <c r="F15" s="5">
        <v>600</v>
      </c>
      <c r="G15" s="5">
        <v>600</v>
      </c>
      <c r="H15" s="5">
        <v>500</v>
      </c>
      <c r="I15" s="5">
        <v>500</v>
      </c>
    </row>
    <row r="16" spans="2:9" ht="15" x14ac:dyDescent="0.25">
      <c r="B16" s="4"/>
      <c r="D16" s="5"/>
      <c r="E16" s="5"/>
      <c r="F16" s="5"/>
      <c r="G16" s="5"/>
      <c r="H16" s="5"/>
    </row>
    <row r="17" spans="2:14" ht="15" x14ac:dyDescent="0.25">
      <c r="B17" s="7" t="s">
        <v>11</v>
      </c>
      <c r="C17" s="8">
        <f t="shared" ref="C17:I17" si="2">SUM(C15:C16)</f>
        <v>0</v>
      </c>
      <c r="D17" s="8">
        <f t="shared" si="2"/>
        <v>650</v>
      </c>
      <c r="E17" s="8">
        <f t="shared" si="2"/>
        <v>650</v>
      </c>
      <c r="F17" s="8">
        <f t="shared" si="2"/>
        <v>600</v>
      </c>
      <c r="G17" s="8">
        <f t="shared" si="2"/>
        <v>600</v>
      </c>
      <c r="H17" s="8">
        <f t="shared" si="2"/>
        <v>500</v>
      </c>
      <c r="I17" s="8">
        <f t="shared" si="2"/>
        <v>500</v>
      </c>
    </row>
    <row r="18" spans="2:14" ht="15" x14ac:dyDescent="0.25">
      <c r="B18" s="9" t="s">
        <v>21</v>
      </c>
      <c r="C18" s="10">
        <f t="shared" ref="C18:I18" si="3">C17-C14</f>
        <v>-3000</v>
      </c>
      <c r="D18" s="10">
        <f t="shared" si="3"/>
        <v>650</v>
      </c>
      <c r="E18" s="10">
        <f t="shared" si="3"/>
        <v>650</v>
      </c>
      <c r="F18" s="10">
        <f t="shared" si="3"/>
        <v>600</v>
      </c>
      <c r="G18" s="10">
        <f t="shared" si="3"/>
        <v>600</v>
      </c>
      <c r="H18" s="10">
        <f t="shared" si="3"/>
        <v>500</v>
      </c>
      <c r="I18" s="10">
        <f t="shared" si="3"/>
        <v>500</v>
      </c>
    </row>
    <row r="19" spans="2:14" ht="15" x14ac:dyDescent="0.25">
      <c r="B19" s="3" t="s">
        <v>22</v>
      </c>
      <c r="C19" s="11">
        <f>C18</f>
        <v>-3000</v>
      </c>
      <c r="D19" s="11">
        <f t="shared" ref="D19:I19" si="4">C19+D18</f>
        <v>-2350</v>
      </c>
      <c r="E19" s="11">
        <f t="shared" si="4"/>
        <v>-1700</v>
      </c>
      <c r="F19" s="11">
        <f t="shared" si="4"/>
        <v>-1100</v>
      </c>
      <c r="G19" s="11">
        <f t="shared" si="4"/>
        <v>-500</v>
      </c>
      <c r="H19" s="12">
        <f t="shared" si="4"/>
        <v>0</v>
      </c>
      <c r="I19" s="11">
        <f t="shared" si="4"/>
        <v>500</v>
      </c>
    </row>
    <row r="20" spans="2:14" ht="15" x14ac:dyDescent="0.25">
      <c r="B20" s="9" t="s">
        <v>23</v>
      </c>
      <c r="C20" s="10">
        <f>C18</f>
        <v>-3000</v>
      </c>
      <c r="D20" s="10">
        <f t="shared" ref="D20:I20" si="5">D18/(1+$C$7)^D11</f>
        <v>643.5643564356435</v>
      </c>
      <c r="E20" s="10">
        <f t="shared" si="5"/>
        <v>637.19243211449862</v>
      </c>
      <c r="F20" s="10">
        <f t="shared" si="5"/>
        <v>582.35408875658675</v>
      </c>
      <c r="G20" s="10">
        <f t="shared" si="5"/>
        <v>576.58820668968974</v>
      </c>
      <c r="H20" s="10">
        <f t="shared" si="5"/>
        <v>475.73284380337441</v>
      </c>
      <c r="I20" s="10">
        <f t="shared" si="5"/>
        <v>471.02261762710333</v>
      </c>
      <c r="K20" s="6" t="s">
        <v>24</v>
      </c>
    </row>
    <row r="21" spans="2:14" ht="15" x14ac:dyDescent="0.25">
      <c r="B21" s="4"/>
      <c r="C21" s="5"/>
      <c r="D21" s="5"/>
      <c r="E21" s="5"/>
      <c r="F21" s="5"/>
      <c r="G21" s="5"/>
      <c r="H21" s="5"/>
      <c r="I21" s="5"/>
      <c r="K21" s="6" t="s">
        <v>25</v>
      </c>
    </row>
    <row r="22" spans="2:14" ht="15" x14ac:dyDescent="0.25">
      <c r="B22" s="4"/>
      <c r="C22" s="5"/>
      <c r="D22" s="18">
        <f t="shared" ref="D22:I22" si="6">PV($C$7,D11,,-D17)</f>
        <v>643.5643564356435</v>
      </c>
      <c r="E22" s="18">
        <f t="shared" si="6"/>
        <v>637.19243211449862</v>
      </c>
      <c r="F22" s="18">
        <f t="shared" si="6"/>
        <v>582.35408875658675</v>
      </c>
      <c r="G22" s="18">
        <f t="shared" si="6"/>
        <v>576.58820668968974</v>
      </c>
      <c r="H22" s="18">
        <f t="shared" si="6"/>
        <v>475.73284380337441</v>
      </c>
      <c r="I22" s="18">
        <f t="shared" si="6"/>
        <v>471.02261762710333</v>
      </c>
      <c r="K22" s="19" t="s">
        <v>26</v>
      </c>
      <c r="L22" s="5"/>
      <c r="M22" s="5"/>
      <c r="N22" s="5"/>
    </row>
    <row r="23" spans="2:14" ht="15" x14ac:dyDescent="0.25">
      <c r="B23" s="3" t="s">
        <v>27</v>
      </c>
      <c r="C23" s="11">
        <f>C18</f>
        <v>-3000</v>
      </c>
      <c r="D23" s="11">
        <f t="shared" ref="D23:I23" si="7">C23+D20</f>
        <v>-2356.4356435643567</v>
      </c>
      <c r="E23" s="11">
        <f t="shared" si="7"/>
        <v>-1719.2432114498581</v>
      </c>
      <c r="F23" s="11">
        <f t="shared" si="7"/>
        <v>-1136.8891226932715</v>
      </c>
      <c r="G23" s="11">
        <f t="shared" si="7"/>
        <v>-560.30091600358173</v>
      </c>
      <c r="H23" s="11">
        <f t="shared" si="7"/>
        <v>-84.568072200207325</v>
      </c>
      <c r="I23" s="12">
        <f t="shared" si="7"/>
        <v>386.454545426896</v>
      </c>
    </row>
    <row r="24" spans="2:14" ht="15" x14ac:dyDescent="0.25">
      <c r="B24" s="13"/>
      <c r="C24" s="14"/>
      <c r="D24" s="15"/>
      <c r="E24" s="15"/>
      <c r="F24" s="15"/>
      <c r="G24" s="15"/>
      <c r="H24" s="15"/>
      <c r="I24" s="15"/>
    </row>
    <row r="25" spans="2:14" ht="15" x14ac:dyDescent="0.25">
      <c r="B25" s="14" t="s">
        <v>14</v>
      </c>
      <c r="C25" s="14">
        <v>5</v>
      </c>
      <c r="D25" s="14" t="s">
        <v>15</v>
      </c>
      <c r="E25" s="15"/>
      <c r="F25" s="15"/>
      <c r="G25" s="15"/>
      <c r="H25" s="15"/>
      <c r="I25" s="15"/>
    </row>
    <row r="26" spans="2:14" ht="15" x14ac:dyDescent="0.25">
      <c r="B26" s="14" t="s">
        <v>28</v>
      </c>
      <c r="C26" s="14">
        <v>6</v>
      </c>
      <c r="D26" s="14" t="s">
        <v>15</v>
      </c>
      <c r="F26" s="6" t="s">
        <v>29</v>
      </c>
    </row>
  </sheetData>
  <mergeCells count="1">
    <mergeCell ref="B10:I10"/>
  </mergeCells>
  <conditionalFormatting sqref="D24:I24 E25:I25">
    <cfRule type="cellIs" dxfId="2" priority="2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T36"/>
  <sheetViews>
    <sheetView showGridLines="0" zoomScale="130" zoomScaleNormal="130" workbookViewId="0">
      <selection activeCell="A15" sqref="A15"/>
    </sheetView>
  </sheetViews>
  <sheetFormatPr defaultColWidth="8.7109375" defaultRowHeight="12.75" x14ac:dyDescent="0.2"/>
  <cols>
    <col min="1" max="1" width="2.7109375" customWidth="1"/>
    <col min="2" max="2" width="20.140625" customWidth="1"/>
    <col min="3" max="7" width="10.42578125" customWidth="1"/>
    <col min="8" max="8" width="10.7109375" customWidth="1"/>
    <col min="9" max="10" width="10.42578125" customWidth="1"/>
    <col min="11" max="44" width="9.28515625" customWidth="1"/>
    <col min="45" max="51" width="10" bestFit="1" customWidth="1"/>
    <col min="52" max="56" width="9.42578125" bestFit="1" customWidth="1"/>
  </cols>
  <sheetData>
    <row r="2" spans="2:10" x14ac:dyDescent="0.2">
      <c r="B2" s="1" t="s">
        <v>44</v>
      </c>
    </row>
    <row r="3" spans="2:10" x14ac:dyDescent="0.2">
      <c r="B3" s="1" t="s">
        <v>45</v>
      </c>
    </row>
    <row r="4" spans="2:10" x14ac:dyDescent="0.2">
      <c r="B4" s="1" t="s">
        <v>68</v>
      </c>
    </row>
    <row r="5" spans="2:10" x14ac:dyDescent="0.2">
      <c r="B5" s="1" t="s">
        <v>69</v>
      </c>
    </row>
    <row r="6" spans="2:10" x14ac:dyDescent="0.2">
      <c r="B6" s="1"/>
    </row>
    <row r="7" spans="2:10" x14ac:dyDescent="0.2">
      <c r="B7" s="22" t="s">
        <v>62</v>
      </c>
      <c r="C7" s="23">
        <v>12000</v>
      </c>
    </row>
    <row r="8" spans="2:10" x14ac:dyDescent="0.2">
      <c r="B8" s="22" t="s">
        <v>54</v>
      </c>
      <c r="C8" s="23">
        <v>300</v>
      </c>
    </row>
    <row r="9" spans="2:10" x14ac:dyDescent="0.2">
      <c r="B9" s="25" t="s">
        <v>59</v>
      </c>
      <c r="C9" s="23">
        <f>C7/C8</f>
        <v>40</v>
      </c>
    </row>
    <row r="10" spans="2:10" ht="15" x14ac:dyDescent="0.25">
      <c r="B10" s="14" t="s">
        <v>70</v>
      </c>
      <c r="D10" s="16">
        <v>0.14899999999999999</v>
      </c>
      <c r="E10" s="1" t="s">
        <v>51</v>
      </c>
      <c r="F10" s="21">
        <f>(1+D10)^(1/12)-1</f>
        <v>1.1641575009651461E-2</v>
      </c>
      <c r="G10" s="1" t="s">
        <v>18</v>
      </c>
    </row>
    <row r="11" spans="2:10" x14ac:dyDescent="0.2">
      <c r="B11" s="1"/>
    </row>
    <row r="12" spans="2:10" x14ac:dyDescent="0.2">
      <c r="B12" s="22" t="s">
        <v>58</v>
      </c>
      <c r="C12" s="22"/>
      <c r="D12" s="22"/>
      <c r="E12" s="22"/>
      <c r="F12" s="22"/>
      <c r="G12" s="22"/>
      <c r="H12" s="22"/>
      <c r="I12" s="22"/>
      <c r="J12" s="22"/>
    </row>
    <row r="13" spans="2:10" x14ac:dyDescent="0.2">
      <c r="B13" s="26" t="s">
        <v>53</v>
      </c>
      <c r="C13" s="26">
        <v>54.148135000000003</v>
      </c>
      <c r="D13" s="26" t="s">
        <v>15</v>
      </c>
      <c r="E13" s="22">
        <f>INT(C13)</f>
        <v>54</v>
      </c>
      <c r="F13" s="22" t="s">
        <v>15</v>
      </c>
      <c r="G13" s="22">
        <f>INT((C13-INT(C13))*30)</f>
        <v>4</v>
      </c>
      <c r="H13" s="22" t="s">
        <v>50</v>
      </c>
      <c r="I13" s="22">
        <f>((C13-E13)*30-G13)*24</f>
        <v>10.65720000000249</v>
      </c>
      <c r="J13" s="22" t="s">
        <v>55</v>
      </c>
    </row>
    <row r="14" spans="2:10" x14ac:dyDescent="0.2">
      <c r="B14" s="22" t="s">
        <v>52</v>
      </c>
      <c r="C14" s="24">
        <f>F10</f>
        <v>1.1641575009651461E-2</v>
      </c>
      <c r="D14" s="25" t="s">
        <v>18</v>
      </c>
      <c r="E14" s="22"/>
      <c r="F14" s="22"/>
      <c r="G14" s="22"/>
      <c r="H14" s="22"/>
      <c r="I14" s="22"/>
      <c r="J14" s="22"/>
    </row>
    <row r="15" spans="2:10" x14ac:dyDescent="0.2">
      <c r="B15" s="22" t="s">
        <v>57</v>
      </c>
      <c r="C15" s="29">
        <f>((1+C14)^C13-1)/(C14*(1+C14)^C13)</f>
        <v>40.000000234125984</v>
      </c>
      <c r="D15" s="22"/>
      <c r="E15" s="22" t="s">
        <v>56</v>
      </c>
      <c r="F15" s="22"/>
      <c r="G15" s="22"/>
      <c r="H15" s="22"/>
      <c r="I15" s="22"/>
      <c r="J15" s="22"/>
    </row>
    <row r="16" spans="2:10" x14ac:dyDescent="0.2">
      <c r="B16" s="25" t="s">
        <v>63</v>
      </c>
      <c r="C16" s="23">
        <f>C15*C8</f>
        <v>12000.000070237795</v>
      </c>
      <c r="D16" s="22"/>
      <c r="E16" s="25" t="s">
        <v>64</v>
      </c>
      <c r="F16" s="22"/>
      <c r="G16" s="22"/>
      <c r="H16" s="22"/>
      <c r="I16" s="22"/>
      <c r="J16" s="22"/>
    </row>
    <row r="17" spans="1:72" x14ac:dyDescent="0.2">
      <c r="B17" s="1"/>
    </row>
    <row r="18" spans="1:72" x14ac:dyDescent="0.2">
      <c r="B18" s="25" t="s">
        <v>71</v>
      </c>
    </row>
    <row r="19" spans="1:72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</row>
    <row r="20" spans="1:72" x14ac:dyDescent="0.2">
      <c r="A20" s="27"/>
      <c r="B20" s="48" t="s">
        <v>4</v>
      </c>
      <c r="C20" s="48"/>
      <c r="D20" s="48"/>
      <c r="E20" s="48"/>
      <c r="F20" s="48"/>
      <c r="G20" s="48"/>
      <c r="H20" s="48"/>
      <c r="I20" s="48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</row>
    <row r="21" spans="1:72" x14ac:dyDescent="0.2">
      <c r="A21" s="27"/>
      <c r="B21" s="30" t="s">
        <v>5</v>
      </c>
      <c r="C21" s="33">
        <v>0</v>
      </c>
      <c r="D21" s="33">
        <f t="shared" ref="D21:AI21" si="0">C21+1</f>
        <v>1</v>
      </c>
      <c r="E21" s="33">
        <f t="shared" si="0"/>
        <v>2</v>
      </c>
      <c r="F21" s="33">
        <f t="shared" si="0"/>
        <v>3</v>
      </c>
      <c r="G21" s="33">
        <f t="shared" si="0"/>
        <v>4</v>
      </c>
      <c r="H21" s="33">
        <f t="shared" si="0"/>
        <v>5</v>
      </c>
      <c r="I21" s="33">
        <f t="shared" si="0"/>
        <v>6</v>
      </c>
      <c r="J21" s="33">
        <f t="shared" si="0"/>
        <v>7</v>
      </c>
      <c r="K21" s="33">
        <f t="shared" si="0"/>
        <v>8</v>
      </c>
      <c r="L21" s="33">
        <f t="shared" si="0"/>
        <v>9</v>
      </c>
      <c r="M21" s="33">
        <f t="shared" si="0"/>
        <v>10</v>
      </c>
      <c r="N21" s="33">
        <f t="shared" si="0"/>
        <v>11</v>
      </c>
      <c r="O21" s="33">
        <f t="shared" si="0"/>
        <v>12</v>
      </c>
      <c r="P21" s="33">
        <f t="shared" si="0"/>
        <v>13</v>
      </c>
      <c r="Q21" s="33">
        <f t="shared" si="0"/>
        <v>14</v>
      </c>
      <c r="R21" s="33">
        <f t="shared" si="0"/>
        <v>15</v>
      </c>
      <c r="S21" s="33">
        <f t="shared" si="0"/>
        <v>16</v>
      </c>
      <c r="T21" s="33">
        <f t="shared" si="0"/>
        <v>17</v>
      </c>
      <c r="U21" s="33">
        <f t="shared" si="0"/>
        <v>18</v>
      </c>
      <c r="V21" s="33">
        <f t="shared" si="0"/>
        <v>19</v>
      </c>
      <c r="W21" s="33">
        <f t="shared" si="0"/>
        <v>20</v>
      </c>
      <c r="X21" s="33">
        <f t="shared" si="0"/>
        <v>21</v>
      </c>
      <c r="Y21" s="33">
        <f t="shared" si="0"/>
        <v>22</v>
      </c>
      <c r="Z21" s="33">
        <f t="shared" si="0"/>
        <v>23</v>
      </c>
      <c r="AA21" s="33">
        <f t="shared" si="0"/>
        <v>24</v>
      </c>
      <c r="AB21" s="33">
        <f t="shared" si="0"/>
        <v>25</v>
      </c>
      <c r="AC21" s="33">
        <f t="shared" si="0"/>
        <v>26</v>
      </c>
      <c r="AD21" s="33">
        <f t="shared" si="0"/>
        <v>27</v>
      </c>
      <c r="AE21" s="33">
        <f t="shared" si="0"/>
        <v>28</v>
      </c>
      <c r="AF21" s="33">
        <f t="shared" si="0"/>
        <v>29</v>
      </c>
      <c r="AG21" s="33">
        <f t="shared" si="0"/>
        <v>30</v>
      </c>
      <c r="AH21" s="33">
        <f t="shared" si="0"/>
        <v>31</v>
      </c>
      <c r="AI21" s="33">
        <f t="shared" si="0"/>
        <v>32</v>
      </c>
      <c r="AJ21" s="33">
        <f t="shared" ref="AJ21:BF21" si="1">AI21+1</f>
        <v>33</v>
      </c>
      <c r="AK21" s="33">
        <f t="shared" si="1"/>
        <v>34</v>
      </c>
      <c r="AL21" s="33">
        <f t="shared" si="1"/>
        <v>35</v>
      </c>
      <c r="AM21" s="33">
        <f t="shared" si="1"/>
        <v>36</v>
      </c>
      <c r="AN21" s="33">
        <f t="shared" si="1"/>
        <v>37</v>
      </c>
      <c r="AO21" s="33">
        <f t="shared" si="1"/>
        <v>38</v>
      </c>
      <c r="AP21" s="33">
        <f t="shared" si="1"/>
        <v>39</v>
      </c>
      <c r="AQ21" s="33">
        <f t="shared" si="1"/>
        <v>40</v>
      </c>
      <c r="AR21" s="33">
        <f t="shared" si="1"/>
        <v>41</v>
      </c>
      <c r="AS21" s="33">
        <f t="shared" si="1"/>
        <v>42</v>
      </c>
      <c r="AT21" s="33">
        <f t="shared" si="1"/>
        <v>43</v>
      </c>
      <c r="AU21" s="33">
        <f t="shared" si="1"/>
        <v>44</v>
      </c>
      <c r="AV21" s="33">
        <f t="shared" si="1"/>
        <v>45</v>
      </c>
      <c r="AW21" s="33">
        <f t="shared" si="1"/>
        <v>46</v>
      </c>
      <c r="AX21" s="33">
        <f t="shared" si="1"/>
        <v>47</v>
      </c>
      <c r="AY21" s="33">
        <f t="shared" si="1"/>
        <v>48</v>
      </c>
      <c r="AZ21" s="33">
        <f t="shared" si="1"/>
        <v>49</v>
      </c>
      <c r="BA21" s="33">
        <f t="shared" si="1"/>
        <v>50</v>
      </c>
      <c r="BB21" s="33">
        <f t="shared" si="1"/>
        <v>51</v>
      </c>
      <c r="BC21" s="33">
        <f t="shared" si="1"/>
        <v>52</v>
      </c>
      <c r="BD21" s="33">
        <f t="shared" si="1"/>
        <v>53</v>
      </c>
      <c r="BE21" s="33">
        <f t="shared" si="1"/>
        <v>54</v>
      </c>
      <c r="BF21" s="33">
        <f t="shared" si="1"/>
        <v>55</v>
      </c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</row>
    <row r="22" spans="1:72" x14ac:dyDescent="0.2">
      <c r="A22" s="27"/>
      <c r="B22" s="34" t="s">
        <v>6</v>
      </c>
      <c r="C22" s="35">
        <v>12000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</row>
    <row r="23" spans="1:72" x14ac:dyDescent="0.2">
      <c r="A23" s="27"/>
      <c r="B23" s="31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</row>
    <row r="24" spans="1:72" x14ac:dyDescent="0.2">
      <c r="A24" s="27"/>
      <c r="B24" s="36" t="s">
        <v>8</v>
      </c>
      <c r="C24" s="37">
        <f t="shared" ref="C24:AH24" si="2">SUM(C22:C23)</f>
        <v>12000</v>
      </c>
      <c r="D24" s="37">
        <f t="shared" si="2"/>
        <v>0</v>
      </c>
      <c r="E24" s="37">
        <f t="shared" si="2"/>
        <v>0</v>
      </c>
      <c r="F24" s="37">
        <f t="shared" si="2"/>
        <v>0</v>
      </c>
      <c r="G24" s="37">
        <f t="shared" si="2"/>
        <v>0</v>
      </c>
      <c r="H24" s="37">
        <f t="shared" si="2"/>
        <v>0</v>
      </c>
      <c r="I24" s="37">
        <f t="shared" si="2"/>
        <v>0</v>
      </c>
      <c r="J24" s="37">
        <f t="shared" si="2"/>
        <v>0</v>
      </c>
      <c r="K24" s="37">
        <f t="shared" si="2"/>
        <v>0</v>
      </c>
      <c r="L24" s="37">
        <f t="shared" si="2"/>
        <v>0</v>
      </c>
      <c r="M24" s="37">
        <f t="shared" si="2"/>
        <v>0</v>
      </c>
      <c r="N24" s="37">
        <f t="shared" si="2"/>
        <v>0</v>
      </c>
      <c r="O24" s="37">
        <f t="shared" si="2"/>
        <v>0</v>
      </c>
      <c r="P24" s="37">
        <f t="shared" si="2"/>
        <v>0</v>
      </c>
      <c r="Q24" s="37">
        <f t="shared" si="2"/>
        <v>0</v>
      </c>
      <c r="R24" s="37">
        <f t="shared" si="2"/>
        <v>0</v>
      </c>
      <c r="S24" s="37">
        <f t="shared" si="2"/>
        <v>0</v>
      </c>
      <c r="T24" s="37">
        <f t="shared" si="2"/>
        <v>0</v>
      </c>
      <c r="U24" s="37">
        <f t="shared" si="2"/>
        <v>0</v>
      </c>
      <c r="V24" s="37">
        <f t="shared" si="2"/>
        <v>0</v>
      </c>
      <c r="W24" s="37">
        <f t="shared" si="2"/>
        <v>0</v>
      </c>
      <c r="X24" s="37">
        <f t="shared" si="2"/>
        <v>0</v>
      </c>
      <c r="Y24" s="37">
        <f t="shared" si="2"/>
        <v>0</v>
      </c>
      <c r="Z24" s="37">
        <f t="shared" si="2"/>
        <v>0</v>
      </c>
      <c r="AA24" s="37">
        <f t="shared" si="2"/>
        <v>0</v>
      </c>
      <c r="AB24" s="37">
        <f t="shared" si="2"/>
        <v>0</v>
      </c>
      <c r="AC24" s="37">
        <f t="shared" si="2"/>
        <v>0</v>
      </c>
      <c r="AD24" s="37">
        <f t="shared" si="2"/>
        <v>0</v>
      </c>
      <c r="AE24" s="37">
        <f t="shared" si="2"/>
        <v>0</v>
      </c>
      <c r="AF24" s="37">
        <f t="shared" si="2"/>
        <v>0</v>
      </c>
      <c r="AG24" s="37">
        <f t="shared" si="2"/>
        <v>0</v>
      </c>
      <c r="AH24" s="37">
        <f t="shared" si="2"/>
        <v>0</v>
      </c>
      <c r="AI24" s="37">
        <f t="shared" ref="AI24:BD24" si="3">SUM(AI22:AI23)</f>
        <v>0</v>
      </c>
      <c r="AJ24" s="37">
        <f t="shared" si="3"/>
        <v>0</v>
      </c>
      <c r="AK24" s="37">
        <f t="shared" si="3"/>
        <v>0</v>
      </c>
      <c r="AL24" s="37">
        <f t="shared" si="3"/>
        <v>0</v>
      </c>
      <c r="AM24" s="37">
        <f t="shared" si="3"/>
        <v>0</v>
      </c>
      <c r="AN24" s="37">
        <f t="shared" si="3"/>
        <v>0</v>
      </c>
      <c r="AO24" s="37">
        <f t="shared" si="3"/>
        <v>0</v>
      </c>
      <c r="AP24" s="37">
        <f t="shared" si="3"/>
        <v>0</v>
      </c>
      <c r="AQ24" s="37">
        <f t="shared" si="3"/>
        <v>0</v>
      </c>
      <c r="AR24" s="37">
        <f t="shared" si="3"/>
        <v>0</v>
      </c>
      <c r="AS24" s="37">
        <f t="shared" si="3"/>
        <v>0</v>
      </c>
      <c r="AT24" s="37">
        <f t="shared" si="3"/>
        <v>0</v>
      </c>
      <c r="AU24" s="37">
        <f t="shared" si="3"/>
        <v>0</v>
      </c>
      <c r="AV24" s="37">
        <f t="shared" si="3"/>
        <v>0</v>
      </c>
      <c r="AW24" s="37">
        <f t="shared" si="3"/>
        <v>0</v>
      </c>
      <c r="AX24" s="37">
        <f t="shared" si="3"/>
        <v>0</v>
      </c>
      <c r="AY24" s="37">
        <f t="shared" si="3"/>
        <v>0</v>
      </c>
      <c r="AZ24" s="37">
        <f t="shared" si="3"/>
        <v>0</v>
      </c>
      <c r="BA24" s="37">
        <f t="shared" si="3"/>
        <v>0</v>
      </c>
      <c r="BB24" s="37">
        <f t="shared" si="3"/>
        <v>0</v>
      </c>
      <c r="BC24" s="37">
        <f t="shared" si="3"/>
        <v>0</v>
      </c>
      <c r="BD24" s="37">
        <f t="shared" si="3"/>
        <v>0</v>
      </c>
      <c r="BE24" s="37">
        <f t="shared" ref="BE24:BF24" si="4">SUM(BE22:BE23)</f>
        <v>0</v>
      </c>
      <c r="BF24" s="37">
        <f t="shared" si="4"/>
        <v>0</v>
      </c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</row>
    <row r="25" spans="1:72" x14ac:dyDescent="0.2">
      <c r="A25" s="27"/>
      <c r="B25" s="34" t="s">
        <v>9</v>
      </c>
      <c r="C25" s="35"/>
      <c r="D25" s="35">
        <v>300</v>
      </c>
      <c r="E25" s="35">
        <f t="shared" ref="E25:AJ25" si="5">D25</f>
        <v>300</v>
      </c>
      <c r="F25" s="35">
        <f t="shared" si="5"/>
        <v>300</v>
      </c>
      <c r="G25" s="35">
        <f t="shared" si="5"/>
        <v>300</v>
      </c>
      <c r="H25" s="35">
        <f t="shared" si="5"/>
        <v>300</v>
      </c>
      <c r="I25" s="35">
        <f t="shared" si="5"/>
        <v>300</v>
      </c>
      <c r="J25" s="35">
        <f t="shared" si="5"/>
        <v>300</v>
      </c>
      <c r="K25" s="35">
        <f t="shared" si="5"/>
        <v>300</v>
      </c>
      <c r="L25" s="35">
        <f t="shared" si="5"/>
        <v>300</v>
      </c>
      <c r="M25" s="35">
        <f t="shared" si="5"/>
        <v>300</v>
      </c>
      <c r="N25" s="35">
        <f t="shared" si="5"/>
        <v>300</v>
      </c>
      <c r="O25" s="35">
        <f t="shared" si="5"/>
        <v>300</v>
      </c>
      <c r="P25" s="35">
        <f t="shared" si="5"/>
        <v>300</v>
      </c>
      <c r="Q25" s="35">
        <f t="shared" si="5"/>
        <v>300</v>
      </c>
      <c r="R25" s="35">
        <f t="shared" si="5"/>
        <v>300</v>
      </c>
      <c r="S25" s="35">
        <f t="shared" si="5"/>
        <v>300</v>
      </c>
      <c r="T25" s="35">
        <f t="shared" si="5"/>
        <v>300</v>
      </c>
      <c r="U25" s="35">
        <f t="shared" si="5"/>
        <v>300</v>
      </c>
      <c r="V25" s="35">
        <f t="shared" si="5"/>
        <v>300</v>
      </c>
      <c r="W25" s="35">
        <f t="shared" si="5"/>
        <v>300</v>
      </c>
      <c r="X25" s="35">
        <f t="shared" si="5"/>
        <v>300</v>
      </c>
      <c r="Y25" s="35">
        <f t="shared" si="5"/>
        <v>300</v>
      </c>
      <c r="Z25" s="35">
        <f t="shared" si="5"/>
        <v>300</v>
      </c>
      <c r="AA25" s="35">
        <f t="shared" si="5"/>
        <v>300</v>
      </c>
      <c r="AB25" s="35">
        <f t="shared" si="5"/>
        <v>300</v>
      </c>
      <c r="AC25" s="35">
        <f t="shared" si="5"/>
        <v>300</v>
      </c>
      <c r="AD25" s="35">
        <f t="shared" si="5"/>
        <v>300</v>
      </c>
      <c r="AE25" s="35">
        <f t="shared" si="5"/>
        <v>300</v>
      </c>
      <c r="AF25" s="35">
        <f t="shared" si="5"/>
        <v>300</v>
      </c>
      <c r="AG25" s="35">
        <f t="shared" si="5"/>
        <v>300</v>
      </c>
      <c r="AH25" s="35">
        <f t="shared" si="5"/>
        <v>300</v>
      </c>
      <c r="AI25" s="35">
        <f t="shared" si="5"/>
        <v>300</v>
      </c>
      <c r="AJ25" s="35">
        <f t="shared" si="5"/>
        <v>300</v>
      </c>
      <c r="AK25" s="35">
        <f t="shared" ref="AK25:BF25" si="6">AJ25</f>
        <v>300</v>
      </c>
      <c r="AL25" s="35">
        <f t="shared" si="6"/>
        <v>300</v>
      </c>
      <c r="AM25" s="35">
        <f t="shared" si="6"/>
        <v>300</v>
      </c>
      <c r="AN25" s="35">
        <f t="shared" si="6"/>
        <v>300</v>
      </c>
      <c r="AO25" s="35">
        <f t="shared" si="6"/>
        <v>300</v>
      </c>
      <c r="AP25" s="35">
        <f t="shared" si="6"/>
        <v>300</v>
      </c>
      <c r="AQ25" s="35">
        <f t="shared" si="6"/>
        <v>300</v>
      </c>
      <c r="AR25" s="35">
        <f t="shared" si="6"/>
        <v>300</v>
      </c>
      <c r="AS25" s="35">
        <f t="shared" si="6"/>
        <v>300</v>
      </c>
      <c r="AT25" s="35">
        <f t="shared" si="6"/>
        <v>300</v>
      </c>
      <c r="AU25" s="35">
        <f t="shared" si="6"/>
        <v>300</v>
      </c>
      <c r="AV25" s="35">
        <f t="shared" si="6"/>
        <v>300</v>
      </c>
      <c r="AW25" s="35">
        <f t="shared" si="6"/>
        <v>300</v>
      </c>
      <c r="AX25" s="35">
        <f t="shared" si="6"/>
        <v>300</v>
      </c>
      <c r="AY25" s="35">
        <f t="shared" si="6"/>
        <v>300</v>
      </c>
      <c r="AZ25" s="35">
        <f t="shared" si="6"/>
        <v>300</v>
      </c>
      <c r="BA25" s="35">
        <f t="shared" si="6"/>
        <v>300</v>
      </c>
      <c r="BB25" s="35">
        <f t="shared" si="6"/>
        <v>300</v>
      </c>
      <c r="BC25" s="35">
        <f t="shared" si="6"/>
        <v>300</v>
      </c>
      <c r="BD25" s="35">
        <f t="shared" si="6"/>
        <v>300</v>
      </c>
      <c r="BE25" s="35">
        <f t="shared" si="6"/>
        <v>300</v>
      </c>
      <c r="BF25" s="35">
        <f t="shared" si="6"/>
        <v>300</v>
      </c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</row>
    <row r="26" spans="1:72" x14ac:dyDescent="0.2">
      <c r="A26" s="27"/>
      <c r="B26" s="34"/>
      <c r="C26" s="27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</row>
    <row r="27" spans="1:72" x14ac:dyDescent="0.2">
      <c r="A27" s="27"/>
      <c r="B27" s="36" t="s">
        <v>11</v>
      </c>
      <c r="C27" s="37">
        <f t="shared" ref="C27:AH27" si="7">SUM(C25:C26)</f>
        <v>0</v>
      </c>
      <c r="D27" s="37">
        <f t="shared" si="7"/>
        <v>300</v>
      </c>
      <c r="E27" s="37">
        <f t="shared" si="7"/>
        <v>300</v>
      </c>
      <c r="F27" s="37">
        <f t="shared" si="7"/>
        <v>300</v>
      </c>
      <c r="G27" s="37">
        <f t="shared" si="7"/>
        <v>300</v>
      </c>
      <c r="H27" s="37">
        <f t="shared" si="7"/>
        <v>300</v>
      </c>
      <c r="I27" s="37">
        <f t="shared" si="7"/>
        <v>300</v>
      </c>
      <c r="J27" s="37">
        <f t="shared" si="7"/>
        <v>300</v>
      </c>
      <c r="K27" s="37">
        <f t="shared" si="7"/>
        <v>300</v>
      </c>
      <c r="L27" s="37">
        <f t="shared" si="7"/>
        <v>300</v>
      </c>
      <c r="M27" s="37">
        <f t="shared" si="7"/>
        <v>300</v>
      </c>
      <c r="N27" s="37">
        <f t="shared" si="7"/>
        <v>300</v>
      </c>
      <c r="O27" s="37">
        <f t="shared" si="7"/>
        <v>300</v>
      </c>
      <c r="P27" s="37">
        <f t="shared" si="7"/>
        <v>300</v>
      </c>
      <c r="Q27" s="37">
        <f t="shared" si="7"/>
        <v>300</v>
      </c>
      <c r="R27" s="37">
        <f t="shared" si="7"/>
        <v>300</v>
      </c>
      <c r="S27" s="37">
        <f t="shared" si="7"/>
        <v>300</v>
      </c>
      <c r="T27" s="37">
        <f t="shared" si="7"/>
        <v>300</v>
      </c>
      <c r="U27" s="37">
        <f t="shared" si="7"/>
        <v>300</v>
      </c>
      <c r="V27" s="37">
        <f t="shared" si="7"/>
        <v>300</v>
      </c>
      <c r="W27" s="37">
        <f t="shared" si="7"/>
        <v>300</v>
      </c>
      <c r="X27" s="37">
        <f t="shared" si="7"/>
        <v>300</v>
      </c>
      <c r="Y27" s="37">
        <f t="shared" si="7"/>
        <v>300</v>
      </c>
      <c r="Z27" s="37">
        <f t="shared" si="7"/>
        <v>300</v>
      </c>
      <c r="AA27" s="37">
        <f t="shared" si="7"/>
        <v>300</v>
      </c>
      <c r="AB27" s="37">
        <f t="shared" si="7"/>
        <v>300</v>
      </c>
      <c r="AC27" s="37">
        <f t="shared" si="7"/>
        <v>300</v>
      </c>
      <c r="AD27" s="37">
        <f t="shared" si="7"/>
        <v>300</v>
      </c>
      <c r="AE27" s="37">
        <f t="shared" si="7"/>
        <v>300</v>
      </c>
      <c r="AF27" s="37">
        <f t="shared" si="7"/>
        <v>300</v>
      </c>
      <c r="AG27" s="37">
        <f t="shared" si="7"/>
        <v>300</v>
      </c>
      <c r="AH27" s="37">
        <f t="shared" si="7"/>
        <v>300</v>
      </c>
      <c r="AI27" s="37">
        <f t="shared" ref="AI27:BD27" si="8">SUM(AI25:AI26)</f>
        <v>300</v>
      </c>
      <c r="AJ27" s="37">
        <f t="shared" si="8"/>
        <v>300</v>
      </c>
      <c r="AK27" s="37">
        <f t="shared" si="8"/>
        <v>300</v>
      </c>
      <c r="AL27" s="37">
        <f t="shared" si="8"/>
        <v>300</v>
      </c>
      <c r="AM27" s="37">
        <f t="shared" si="8"/>
        <v>300</v>
      </c>
      <c r="AN27" s="37">
        <f t="shared" si="8"/>
        <v>300</v>
      </c>
      <c r="AO27" s="37">
        <f t="shared" si="8"/>
        <v>300</v>
      </c>
      <c r="AP27" s="37">
        <f t="shared" si="8"/>
        <v>300</v>
      </c>
      <c r="AQ27" s="37">
        <f t="shared" si="8"/>
        <v>300</v>
      </c>
      <c r="AR27" s="37">
        <f t="shared" si="8"/>
        <v>300</v>
      </c>
      <c r="AS27" s="37">
        <f t="shared" si="8"/>
        <v>300</v>
      </c>
      <c r="AT27" s="37">
        <f t="shared" si="8"/>
        <v>300</v>
      </c>
      <c r="AU27" s="37">
        <f t="shared" si="8"/>
        <v>300</v>
      </c>
      <c r="AV27" s="37">
        <f t="shared" si="8"/>
        <v>300</v>
      </c>
      <c r="AW27" s="37">
        <f t="shared" si="8"/>
        <v>300</v>
      </c>
      <c r="AX27" s="37">
        <f t="shared" si="8"/>
        <v>300</v>
      </c>
      <c r="AY27" s="37">
        <f t="shared" si="8"/>
        <v>300</v>
      </c>
      <c r="AZ27" s="37">
        <f t="shared" si="8"/>
        <v>300</v>
      </c>
      <c r="BA27" s="37">
        <f t="shared" si="8"/>
        <v>300</v>
      </c>
      <c r="BB27" s="37">
        <f t="shared" si="8"/>
        <v>300</v>
      </c>
      <c r="BC27" s="37">
        <f t="shared" si="8"/>
        <v>300</v>
      </c>
      <c r="BD27" s="37">
        <f t="shared" si="8"/>
        <v>300</v>
      </c>
      <c r="BE27" s="37">
        <f t="shared" ref="BE27:BF27" si="9">SUM(BE25:BE26)</f>
        <v>300</v>
      </c>
      <c r="BF27" s="37">
        <f t="shared" si="9"/>
        <v>300</v>
      </c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</row>
    <row r="28" spans="1:72" x14ac:dyDescent="0.2">
      <c r="A28" s="27"/>
      <c r="B28" s="38" t="s">
        <v>12</v>
      </c>
      <c r="C28" s="39">
        <f t="shared" ref="C28:AH28" si="10">C27-C24</f>
        <v>-12000</v>
      </c>
      <c r="D28" s="39">
        <f t="shared" si="10"/>
        <v>300</v>
      </c>
      <c r="E28" s="39">
        <f t="shared" si="10"/>
        <v>300</v>
      </c>
      <c r="F28" s="39">
        <f t="shared" si="10"/>
        <v>300</v>
      </c>
      <c r="G28" s="39">
        <f t="shared" si="10"/>
        <v>300</v>
      </c>
      <c r="H28" s="39">
        <f t="shared" si="10"/>
        <v>300</v>
      </c>
      <c r="I28" s="39">
        <f t="shared" si="10"/>
        <v>300</v>
      </c>
      <c r="J28" s="39">
        <f t="shared" si="10"/>
        <v>300</v>
      </c>
      <c r="K28" s="39">
        <f t="shared" si="10"/>
        <v>300</v>
      </c>
      <c r="L28" s="39">
        <f t="shared" si="10"/>
        <v>300</v>
      </c>
      <c r="M28" s="39">
        <f t="shared" si="10"/>
        <v>300</v>
      </c>
      <c r="N28" s="39">
        <f t="shared" si="10"/>
        <v>300</v>
      </c>
      <c r="O28" s="39">
        <f t="shared" si="10"/>
        <v>300</v>
      </c>
      <c r="P28" s="39">
        <f t="shared" si="10"/>
        <v>300</v>
      </c>
      <c r="Q28" s="39">
        <f t="shared" si="10"/>
        <v>300</v>
      </c>
      <c r="R28" s="39">
        <f t="shared" si="10"/>
        <v>300</v>
      </c>
      <c r="S28" s="39">
        <f t="shared" si="10"/>
        <v>300</v>
      </c>
      <c r="T28" s="39">
        <f t="shared" si="10"/>
        <v>300</v>
      </c>
      <c r="U28" s="39">
        <f t="shared" si="10"/>
        <v>300</v>
      </c>
      <c r="V28" s="39">
        <f t="shared" si="10"/>
        <v>300</v>
      </c>
      <c r="W28" s="39">
        <f t="shared" si="10"/>
        <v>300</v>
      </c>
      <c r="X28" s="39">
        <f t="shared" si="10"/>
        <v>300</v>
      </c>
      <c r="Y28" s="39">
        <f t="shared" si="10"/>
        <v>300</v>
      </c>
      <c r="Z28" s="39">
        <f t="shared" si="10"/>
        <v>300</v>
      </c>
      <c r="AA28" s="39">
        <f t="shared" si="10"/>
        <v>300</v>
      </c>
      <c r="AB28" s="39">
        <f t="shared" si="10"/>
        <v>300</v>
      </c>
      <c r="AC28" s="39">
        <f t="shared" si="10"/>
        <v>300</v>
      </c>
      <c r="AD28" s="39">
        <f t="shared" si="10"/>
        <v>300</v>
      </c>
      <c r="AE28" s="39">
        <f t="shared" si="10"/>
        <v>300</v>
      </c>
      <c r="AF28" s="39">
        <f t="shared" si="10"/>
        <v>300</v>
      </c>
      <c r="AG28" s="39">
        <f t="shared" si="10"/>
        <v>300</v>
      </c>
      <c r="AH28" s="39">
        <f t="shared" si="10"/>
        <v>300</v>
      </c>
      <c r="AI28" s="39">
        <f t="shared" ref="AI28:BD28" si="11">AI27-AI24</f>
        <v>300</v>
      </c>
      <c r="AJ28" s="39">
        <f t="shared" si="11"/>
        <v>300</v>
      </c>
      <c r="AK28" s="39">
        <f t="shared" si="11"/>
        <v>300</v>
      </c>
      <c r="AL28" s="39">
        <f t="shared" si="11"/>
        <v>300</v>
      </c>
      <c r="AM28" s="39">
        <f t="shared" si="11"/>
        <v>300</v>
      </c>
      <c r="AN28" s="39">
        <f t="shared" si="11"/>
        <v>300</v>
      </c>
      <c r="AO28" s="39">
        <f t="shared" si="11"/>
        <v>300</v>
      </c>
      <c r="AP28" s="39">
        <f t="shared" si="11"/>
        <v>300</v>
      </c>
      <c r="AQ28" s="39">
        <f t="shared" si="11"/>
        <v>300</v>
      </c>
      <c r="AR28" s="39">
        <f t="shared" si="11"/>
        <v>300</v>
      </c>
      <c r="AS28" s="39">
        <f t="shared" si="11"/>
        <v>300</v>
      </c>
      <c r="AT28" s="39">
        <f t="shared" si="11"/>
        <v>300</v>
      </c>
      <c r="AU28" s="39">
        <f t="shared" si="11"/>
        <v>300</v>
      </c>
      <c r="AV28" s="39">
        <f t="shared" si="11"/>
        <v>300</v>
      </c>
      <c r="AW28" s="39">
        <f t="shared" si="11"/>
        <v>300</v>
      </c>
      <c r="AX28" s="39">
        <f t="shared" si="11"/>
        <v>300</v>
      </c>
      <c r="AY28" s="39">
        <f t="shared" si="11"/>
        <v>300</v>
      </c>
      <c r="AZ28" s="39">
        <f t="shared" si="11"/>
        <v>300</v>
      </c>
      <c r="BA28" s="39">
        <f t="shared" si="11"/>
        <v>300</v>
      </c>
      <c r="BB28" s="39">
        <f t="shared" si="11"/>
        <v>300</v>
      </c>
      <c r="BC28" s="39">
        <f t="shared" si="11"/>
        <v>300</v>
      </c>
      <c r="BD28" s="39">
        <f t="shared" si="11"/>
        <v>300</v>
      </c>
      <c r="BE28" s="39">
        <f t="shared" ref="BE28:BF28" si="12">BE27-BE24</f>
        <v>300</v>
      </c>
      <c r="BF28" s="39">
        <f t="shared" si="12"/>
        <v>300</v>
      </c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</row>
    <row r="29" spans="1:72" x14ac:dyDescent="0.2">
      <c r="A29" s="27"/>
      <c r="B29" s="33" t="s">
        <v>13</v>
      </c>
      <c r="C29" s="40">
        <f>C28</f>
        <v>-12000</v>
      </c>
      <c r="D29" s="40">
        <f t="shared" ref="D29:AI29" si="13">C29+D28</f>
        <v>-11700</v>
      </c>
      <c r="E29" s="40">
        <f t="shared" si="13"/>
        <v>-11400</v>
      </c>
      <c r="F29" s="40">
        <f t="shared" si="13"/>
        <v>-11100</v>
      </c>
      <c r="G29" s="40">
        <f t="shared" si="13"/>
        <v>-10800</v>
      </c>
      <c r="H29" s="40">
        <f t="shared" si="13"/>
        <v>-10500</v>
      </c>
      <c r="I29" s="40">
        <f t="shared" si="13"/>
        <v>-10200</v>
      </c>
      <c r="J29" s="40">
        <f t="shared" si="13"/>
        <v>-9900</v>
      </c>
      <c r="K29" s="40">
        <f t="shared" si="13"/>
        <v>-9600</v>
      </c>
      <c r="L29" s="40">
        <f t="shared" si="13"/>
        <v>-9300</v>
      </c>
      <c r="M29" s="40">
        <f t="shared" si="13"/>
        <v>-9000</v>
      </c>
      <c r="N29" s="40">
        <f t="shared" si="13"/>
        <v>-8700</v>
      </c>
      <c r="O29" s="40">
        <f t="shared" si="13"/>
        <v>-8400</v>
      </c>
      <c r="P29" s="40">
        <f t="shared" si="13"/>
        <v>-8100</v>
      </c>
      <c r="Q29" s="40">
        <f t="shared" si="13"/>
        <v>-7800</v>
      </c>
      <c r="R29" s="40">
        <f t="shared" si="13"/>
        <v>-7500</v>
      </c>
      <c r="S29" s="40">
        <f t="shared" si="13"/>
        <v>-7200</v>
      </c>
      <c r="T29" s="40">
        <f t="shared" si="13"/>
        <v>-6900</v>
      </c>
      <c r="U29" s="40">
        <f t="shared" si="13"/>
        <v>-6600</v>
      </c>
      <c r="V29" s="40">
        <f t="shared" si="13"/>
        <v>-6300</v>
      </c>
      <c r="W29" s="40">
        <f t="shared" si="13"/>
        <v>-6000</v>
      </c>
      <c r="X29" s="40">
        <f t="shared" si="13"/>
        <v>-5700</v>
      </c>
      <c r="Y29" s="40">
        <f t="shared" si="13"/>
        <v>-5400</v>
      </c>
      <c r="Z29" s="40">
        <f t="shared" si="13"/>
        <v>-5100</v>
      </c>
      <c r="AA29" s="40">
        <f t="shared" si="13"/>
        <v>-4800</v>
      </c>
      <c r="AB29" s="40">
        <f t="shared" si="13"/>
        <v>-4500</v>
      </c>
      <c r="AC29" s="40">
        <f t="shared" si="13"/>
        <v>-4200</v>
      </c>
      <c r="AD29" s="40">
        <f t="shared" si="13"/>
        <v>-3900</v>
      </c>
      <c r="AE29" s="40">
        <f t="shared" si="13"/>
        <v>-3600</v>
      </c>
      <c r="AF29" s="40">
        <f t="shared" si="13"/>
        <v>-3300</v>
      </c>
      <c r="AG29" s="40">
        <f t="shared" si="13"/>
        <v>-3000</v>
      </c>
      <c r="AH29" s="40">
        <f t="shared" si="13"/>
        <v>-2700</v>
      </c>
      <c r="AI29" s="40">
        <f t="shared" si="13"/>
        <v>-2400</v>
      </c>
      <c r="AJ29" s="40">
        <f t="shared" ref="AJ29:BF29" si="14">AI29+AJ28</f>
        <v>-2100</v>
      </c>
      <c r="AK29" s="40">
        <f t="shared" si="14"/>
        <v>-1800</v>
      </c>
      <c r="AL29" s="40">
        <f t="shared" si="14"/>
        <v>-1500</v>
      </c>
      <c r="AM29" s="40">
        <f t="shared" si="14"/>
        <v>-1200</v>
      </c>
      <c r="AN29" s="40">
        <f t="shared" si="14"/>
        <v>-900</v>
      </c>
      <c r="AO29" s="40">
        <f t="shared" si="14"/>
        <v>-600</v>
      </c>
      <c r="AP29" s="40">
        <f t="shared" si="14"/>
        <v>-300</v>
      </c>
      <c r="AQ29" s="41">
        <f t="shared" si="14"/>
        <v>0</v>
      </c>
      <c r="AR29" s="40">
        <f t="shared" si="14"/>
        <v>300</v>
      </c>
      <c r="AS29" s="40">
        <f t="shared" si="14"/>
        <v>600</v>
      </c>
      <c r="AT29" s="40">
        <f t="shared" si="14"/>
        <v>900</v>
      </c>
      <c r="AU29" s="40">
        <f t="shared" si="14"/>
        <v>1200</v>
      </c>
      <c r="AV29" s="40">
        <f t="shared" si="14"/>
        <v>1500</v>
      </c>
      <c r="AW29" s="40">
        <f t="shared" si="14"/>
        <v>1800</v>
      </c>
      <c r="AX29" s="40">
        <f t="shared" si="14"/>
        <v>2100</v>
      </c>
      <c r="AY29" s="40">
        <f t="shared" si="14"/>
        <v>2400</v>
      </c>
      <c r="AZ29" s="40">
        <f t="shared" si="14"/>
        <v>2700</v>
      </c>
      <c r="BA29" s="40">
        <f t="shared" si="14"/>
        <v>3000</v>
      </c>
      <c r="BB29" s="40">
        <f t="shared" si="14"/>
        <v>3300</v>
      </c>
      <c r="BC29" s="40">
        <f t="shared" si="14"/>
        <v>3600</v>
      </c>
      <c r="BD29" s="40">
        <f t="shared" si="14"/>
        <v>3900</v>
      </c>
      <c r="BE29" s="40">
        <f t="shared" si="14"/>
        <v>4200</v>
      </c>
      <c r="BF29" s="40">
        <f t="shared" si="14"/>
        <v>4500</v>
      </c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</row>
    <row r="30" spans="1:72" x14ac:dyDescent="0.2">
      <c r="A30" s="27"/>
      <c r="B30" s="42" t="s">
        <v>23</v>
      </c>
      <c r="C30" s="27"/>
      <c r="D30" s="35">
        <f t="shared" ref="D30:AI30" si="15">D28/(1+$F$10)^D21</f>
        <v>296.5477175027508</v>
      </c>
      <c r="E30" s="35">
        <f t="shared" si="15"/>
        <v>293.13516252030433</v>
      </c>
      <c r="F30" s="35">
        <f t="shared" si="15"/>
        <v>289.7618778839805</v>
      </c>
      <c r="G30" s="35">
        <f t="shared" si="15"/>
        <v>286.42741168601742</v>
      </c>
      <c r="H30" s="35">
        <f t="shared" si="15"/>
        <v>283.13131721903068</v>
      </c>
      <c r="I30" s="35">
        <f t="shared" si="15"/>
        <v>279.87315291616943</v>
      </c>
      <c r="J30" s="35">
        <f t="shared" si="15"/>
        <v>276.65248229196129</v>
      </c>
      <c r="K30" s="35">
        <f t="shared" si="15"/>
        <v>273.46887388383772</v>
      </c>
      <c r="L30" s="35">
        <f t="shared" si="15"/>
        <v>270.32190119433227</v>
      </c>
      <c r="M30" s="35">
        <f t="shared" si="15"/>
        <v>267.21114263394458</v>
      </c>
      <c r="N30" s="35">
        <f t="shared" si="15"/>
        <v>264.13618146466081</v>
      </c>
      <c r="O30" s="35">
        <f t="shared" si="15"/>
        <v>261.09660574412521</v>
      </c>
      <c r="P30" s="35">
        <f t="shared" si="15"/>
        <v>258.09200827045311</v>
      </c>
      <c r="Q30" s="35">
        <f t="shared" si="15"/>
        <v>255.12198652767987</v>
      </c>
      <c r="R30" s="35">
        <f t="shared" si="15"/>
        <v>252.18614263183667</v>
      </c>
      <c r="S30" s="35">
        <f t="shared" si="15"/>
        <v>249.28408327764777</v>
      </c>
      <c r="T30" s="35">
        <f t="shared" si="15"/>
        <v>246.41541968584031</v>
      </c>
      <c r="U30" s="35">
        <f t="shared" si="15"/>
        <v>243.57976755106117</v>
      </c>
      <c r="V30" s="35">
        <f t="shared" si="15"/>
        <v>240.77674699039264</v>
      </c>
      <c r="W30" s="35">
        <f t="shared" si="15"/>
        <v>238.0059824924609</v>
      </c>
      <c r="X30" s="35">
        <f t="shared" si="15"/>
        <v>235.26710286712981</v>
      </c>
      <c r="Y30" s="35">
        <f t="shared" si="15"/>
        <v>232.55974119577411</v>
      </c>
      <c r="Z30" s="35">
        <f t="shared" si="15"/>
        <v>229.88353478212417</v>
      </c>
      <c r="AA30" s="35">
        <f t="shared" si="15"/>
        <v>227.23812510367716</v>
      </c>
      <c r="AB30" s="35">
        <f t="shared" si="15"/>
        <v>224.62315776366668</v>
      </c>
      <c r="AC30" s="35">
        <f t="shared" si="15"/>
        <v>222.03828244358553</v>
      </c>
      <c r="AD30" s="35">
        <f t="shared" si="15"/>
        <v>219.48315285625463</v>
      </c>
      <c r="AE30" s="35">
        <f t="shared" si="15"/>
        <v>216.95742669943226</v>
      </c>
      <c r="AF30" s="35">
        <f t="shared" si="15"/>
        <v>214.46076560995664</v>
      </c>
      <c r="AG30" s="35">
        <f t="shared" si="15"/>
        <v>211.99283511841691</v>
      </c>
      <c r="AH30" s="35">
        <f t="shared" si="15"/>
        <v>209.55330460434507</v>
      </c>
      <c r="AI30" s="35">
        <f t="shared" si="15"/>
        <v>207.14184725192408</v>
      </c>
      <c r="AJ30" s="35">
        <f t="shared" ref="AJ30:BF30" si="16">AJ28/(1+$F$10)^AJ21</f>
        <v>204.75814000620514</v>
      </c>
      <c r="AK30" s="35">
        <f t="shared" si="16"/>
        <v>202.4018635298294</v>
      </c>
      <c r="AL30" s="35">
        <f t="shared" si="16"/>
        <v>200.07270216024722</v>
      </c>
      <c r="AM30" s="35">
        <f t="shared" si="16"/>
        <v>197.77034386743</v>
      </c>
      <c r="AN30" s="35">
        <f t="shared" si="16"/>
        <v>195.49448021206837</v>
      </c>
      <c r="AO30" s="35">
        <f t="shared" si="16"/>
        <v>193.24480630425188</v>
      </c>
      <c r="AP30" s="35">
        <f t="shared" si="16"/>
        <v>191.02102076262361</v>
      </c>
      <c r="AQ30" s="35">
        <f t="shared" si="16"/>
        <v>188.82282567400532</v>
      </c>
      <c r="AR30" s="35">
        <f t="shared" si="16"/>
        <v>186.64992655348698</v>
      </c>
      <c r="AS30" s="35">
        <f t="shared" si="16"/>
        <v>184.5020323049755</v>
      </c>
      <c r="AT30" s="35">
        <f t="shared" si="16"/>
        <v>182.37885518219755</v>
      </c>
      <c r="AU30" s="35">
        <f t="shared" si="16"/>
        <v>180.28011075015144</v>
      </c>
      <c r="AV30" s="35">
        <f t="shared" si="16"/>
        <v>178.20551784700177</v>
      </c>
      <c r="AW30" s="35">
        <f t="shared" si="16"/>
        <v>176.15479854641364</v>
      </c>
      <c r="AX30" s="35">
        <f t="shared" si="16"/>
        <v>174.1276781203195</v>
      </c>
      <c r="AY30" s="35">
        <f t="shared" si="16"/>
        <v>172.1238850021148</v>
      </c>
      <c r="AZ30" s="35">
        <f t="shared" si="16"/>
        <v>170.14315075027699</v>
      </c>
      <c r="BA30" s="35">
        <f t="shared" si="16"/>
        <v>168.18521001240362</v>
      </c>
      <c r="BB30" s="35">
        <f t="shared" si="16"/>
        <v>166.24980048966361</v>
      </c>
      <c r="BC30" s="35">
        <f t="shared" si="16"/>
        <v>164.3366629016582</v>
      </c>
      <c r="BD30" s="35">
        <f t="shared" si="16"/>
        <v>162.44554095168573</v>
      </c>
      <c r="BE30" s="35">
        <f t="shared" si="16"/>
        <v>160.57618129240677</v>
      </c>
      <c r="BF30" s="35">
        <f t="shared" si="16"/>
        <v>158.72833349190381</v>
      </c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</row>
    <row r="31" spans="1:72" x14ac:dyDescent="0.2">
      <c r="A31" s="27"/>
      <c r="B31" s="42" t="s">
        <v>46</v>
      </c>
      <c r="C31" s="43">
        <f>C29</f>
        <v>-12000</v>
      </c>
      <c r="D31" s="35">
        <f t="shared" ref="D31:AI31" si="17">C31+D30</f>
        <v>-11703.45228249725</v>
      </c>
      <c r="E31" s="35">
        <f t="shared" si="17"/>
        <v>-11410.317119976946</v>
      </c>
      <c r="F31" s="35">
        <f t="shared" si="17"/>
        <v>-11120.555242092965</v>
      </c>
      <c r="G31" s="35">
        <f t="shared" si="17"/>
        <v>-10834.127830406947</v>
      </c>
      <c r="H31" s="35">
        <f t="shared" si="17"/>
        <v>-10550.996513187916</v>
      </c>
      <c r="I31" s="35">
        <f t="shared" si="17"/>
        <v>-10271.123360271748</v>
      </c>
      <c r="J31" s="35">
        <f t="shared" si="17"/>
        <v>-9994.4708779797857</v>
      </c>
      <c r="K31" s="35">
        <f t="shared" si="17"/>
        <v>-9721.002004095948</v>
      </c>
      <c r="L31" s="35">
        <f t="shared" si="17"/>
        <v>-9450.6801029016151</v>
      </c>
      <c r="M31" s="35">
        <f t="shared" si="17"/>
        <v>-9183.4689602676699</v>
      </c>
      <c r="N31" s="35">
        <f t="shared" si="17"/>
        <v>-8919.3327788030092</v>
      </c>
      <c r="O31" s="35">
        <f t="shared" si="17"/>
        <v>-8658.2361730588837</v>
      </c>
      <c r="P31" s="35">
        <f t="shared" si="17"/>
        <v>-8400.1441647884312</v>
      </c>
      <c r="Q31" s="35">
        <f t="shared" si="17"/>
        <v>-8145.0221782607514</v>
      </c>
      <c r="R31" s="35">
        <f t="shared" si="17"/>
        <v>-7892.8360356289149</v>
      </c>
      <c r="S31" s="35">
        <f t="shared" si="17"/>
        <v>-7643.5519523512676</v>
      </c>
      <c r="T31" s="35">
        <f t="shared" si="17"/>
        <v>-7397.1365326654277</v>
      </c>
      <c r="U31" s="35">
        <f t="shared" si="17"/>
        <v>-7153.5567651143665</v>
      </c>
      <c r="V31" s="35">
        <f t="shared" si="17"/>
        <v>-6912.7800181239736</v>
      </c>
      <c r="W31" s="35">
        <f t="shared" si="17"/>
        <v>-6674.7740356315126</v>
      </c>
      <c r="X31" s="35">
        <f t="shared" si="17"/>
        <v>-6439.5069327643823</v>
      </c>
      <c r="Y31" s="35">
        <f t="shared" si="17"/>
        <v>-6206.9471915686081</v>
      </c>
      <c r="Z31" s="35">
        <f t="shared" si="17"/>
        <v>-5977.063656786484</v>
      </c>
      <c r="AA31" s="35">
        <f t="shared" si="17"/>
        <v>-5749.8255316828072</v>
      </c>
      <c r="AB31" s="35">
        <f t="shared" si="17"/>
        <v>-5525.2023739191409</v>
      </c>
      <c r="AC31" s="35">
        <f t="shared" si="17"/>
        <v>-5303.1640914755553</v>
      </c>
      <c r="AD31" s="35">
        <f t="shared" si="17"/>
        <v>-5083.6809386193008</v>
      </c>
      <c r="AE31" s="35">
        <f t="shared" si="17"/>
        <v>-4866.7235119198685</v>
      </c>
      <c r="AF31" s="35">
        <f t="shared" si="17"/>
        <v>-4652.2627463099116</v>
      </c>
      <c r="AG31" s="35">
        <f t="shared" si="17"/>
        <v>-4440.2699111914944</v>
      </c>
      <c r="AH31" s="35">
        <f t="shared" si="17"/>
        <v>-4230.7166065871497</v>
      </c>
      <c r="AI31" s="35">
        <f t="shared" si="17"/>
        <v>-4023.5747593352257</v>
      </c>
      <c r="AJ31" s="35">
        <f t="shared" ref="AJ31:BF31" si="18">AI31+AJ30</f>
        <v>-3818.8166193290208</v>
      </c>
      <c r="AK31" s="35">
        <f t="shared" si="18"/>
        <v>-3616.4147557991914</v>
      </c>
      <c r="AL31" s="35">
        <f t="shared" si="18"/>
        <v>-3416.342053638944</v>
      </c>
      <c r="AM31" s="35">
        <f t="shared" si="18"/>
        <v>-3218.5717097715142</v>
      </c>
      <c r="AN31" s="35">
        <f t="shared" si="18"/>
        <v>-3023.0772295594456</v>
      </c>
      <c r="AO31" s="35">
        <f t="shared" si="18"/>
        <v>-2829.8324232551936</v>
      </c>
      <c r="AP31" s="35">
        <f t="shared" si="18"/>
        <v>-2638.8114024925699</v>
      </c>
      <c r="AQ31" s="35">
        <f t="shared" si="18"/>
        <v>-2449.9885768185645</v>
      </c>
      <c r="AR31" s="35">
        <f t="shared" si="18"/>
        <v>-2263.3386502650774</v>
      </c>
      <c r="AS31" s="35">
        <f t="shared" si="18"/>
        <v>-2078.8366179601016</v>
      </c>
      <c r="AT31" s="35">
        <f t="shared" si="18"/>
        <v>-1896.457762777904</v>
      </c>
      <c r="AU31" s="35">
        <f t="shared" si="18"/>
        <v>-1716.1776520277526</v>
      </c>
      <c r="AV31" s="35">
        <f t="shared" si="18"/>
        <v>-1537.9721341807508</v>
      </c>
      <c r="AW31" s="35">
        <f t="shared" si="18"/>
        <v>-1361.8173356343373</v>
      </c>
      <c r="AX31" s="35">
        <f t="shared" si="18"/>
        <v>-1187.6896575140177</v>
      </c>
      <c r="AY31" s="35">
        <f t="shared" si="18"/>
        <v>-1015.5657725119029</v>
      </c>
      <c r="AZ31" s="35">
        <f t="shared" si="18"/>
        <v>-845.42262176162592</v>
      </c>
      <c r="BA31" s="35">
        <f t="shared" si="18"/>
        <v>-677.23741174922225</v>
      </c>
      <c r="BB31" s="35">
        <f t="shared" si="18"/>
        <v>-510.98761125955866</v>
      </c>
      <c r="BC31" s="35">
        <f t="shared" si="18"/>
        <v>-346.65094835790046</v>
      </c>
      <c r="BD31" s="35">
        <f t="shared" si="18"/>
        <v>-184.20540740621473</v>
      </c>
      <c r="BE31" s="35">
        <f t="shared" si="18"/>
        <v>-23.62922611380796</v>
      </c>
      <c r="BF31" s="44">
        <f t="shared" si="18"/>
        <v>135.09910737809585</v>
      </c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</row>
    <row r="32" spans="1:72" x14ac:dyDescent="0.2">
      <c r="A32" s="27"/>
      <c r="B32" s="42"/>
      <c r="C32" s="27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</row>
    <row r="33" spans="1:72" x14ac:dyDescent="0.2">
      <c r="A33" s="27"/>
      <c r="B33" s="27" t="s">
        <v>14</v>
      </c>
      <c r="C33" s="27">
        <v>40</v>
      </c>
      <c r="D33" s="27" t="s">
        <v>15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</row>
    <row r="34" spans="1:72" x14ac:dyDescent="0.2">
      <c r="A34" s="27"/>
      <c r="B34" s="27" t="s">
        <v>47</v>
      </c>
      <c r="C34" s="27">
        <v>55</v>
      </c>
      <c r="D34" s="27" t="s">
        <v>15</v>
      </c>
      <c r="E34" s="27" t="s">
        <v>48</v>
      </c>
      <c r="F34" s="27"/>
      <c r="G34" s="27">
        <f>C34-1</f>
        <v>54</v>
      </c>
      <c r="H34" s="27" t="s">
        <v>49</v>
      </c>
      <c r="I34" s="46">
        <f>ROUNDUP((30*-BE31/(BF31-BE31)),)</f>
        <v>5</v>
      </c>
      <c r="J34" s="27" t="s">
        <v>50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</row>
    <row r="35" spans="1:72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</row>
    <row r="36" spans="1:72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</row>
  </sheetData>
  <mergeCells count="1">
    <mergeCell ref="B20:I20"/>
  </mergeCells>
  <conditionalFormatting sqref="D32:AP32">
    <cfRule type="cellIs" dxfId="1" priority="2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0"/>
  <sheetViews>
    <sheetView showGridLines="0" zoomScale="130" zoomScaleNormal="130" workbookViewId="0"/>
  </sheetViews>
  <sheetFormatPr defaultColWidth="8.7109375" defaultRowHeight="12.75" x14ac:dyDescent="0.2"/>
  <cols>
    <col min="1" max="1" width="2.140625" customWidth="1"/>
    <col min="2" max="2" width="22.140625" customWidth="1"/>
    <col min="3" max="3" width="12.85546875" customWidth="1"/>
    <col min="4" max="4" width="10.85546875" customWidth="1"/>
    <col min="6" max="6" width="9.28515625" customWidth="1"/>
    <col min="10" max="10" width="6.42578125" customWidth="1"/>
  </cols>
  <sheetData>
    <row r="2" spans="2:9" x14ac:dyDescent="0.2">
      <c r="B2" s="1" t="s">
        <v>30</v>
      </c>
    </row>
    <row r="3" spans="2:9" x14ac:dyDescent="0.2">
      <c r="B3" s="1" t="s">
        <v>31</v>
      </c>
      <c r="D3" s="1"/>
    </row>
    <row r="4" spans="2:9" x14ac:dyDescent="0.2">
      <c r="B4" s="1" t="s">
        <v>32</v>
      </c>
      <c r="D4" s="1"/>
    </row>
    <row r="5" spans="2:9" x14ac:dyDescent="0.2">
      <c r="B5" s="1" t="s">
        <v>33</v>
      </c>
      <c r="D5" s="1"/>
    </row>
    <row r="6" spans="2:9" x14ac:dyDescent="0.2">
      <c r="B6" s="1" t="s">
        <v>34</v>
      </c>
      <c r="D6" s="1"/>
    </row>
    <row r="7" spans="2:9" ht="6" customHeight="1" x14ac:dyDescent="0.2">
      <c r="B7" s="1"/>
    </row>
    <row r="8" spans="2:9" x14ac:dyDescent="0.2">
      <c r="B8" s="1" t="s">
        <v>35</v>
      </c>
    </row>
    <row r="9" spans="2:9" x14ac:dyDescent="0.2">
      <c r="B9" s="1" t="s">
        <v>36</v>
      </c>
    </row>
    <row r="11" spans="2:9" ht="15" x14ac:dyDescent="0.25">
      <c r="B11" s="47" t="s">
        <v>4</v>
      </c>
      <c r="C11" s="47"/>
      <c r="D11" s="47"/>
      <c r="E11" s="47"/>
      <c r="F11" s="47"/>
      <c r="G11" s="47"/>
      <c r="H11" s="47"/>
      <c r="I11" s="47"/>
    </row>
    <row r="12" spans="2:9" ht="15" x14ac:dyDescent="0.25">
      <c r="B12" s="2" t="s">
        <v>5</v>
      </c>
      <c r="C12" s="3">
        <v>0</v>
      </c>
      <c r="D12" s="3">
        <f t="shared" ref="D12:I12" si="0">C12+1</f>
        <v>1</v>
      </c>
      <c r="E12" s="3">
        <f t="shared" si="0"/>
        <v>2</v>
      </c>
      <c r="F12" s="3">
        <f t="shared" si="0"/>
        <v>3</v>
      </c>
      <c r="G12" s="3">
        <f t="shared" si="0"/>
        <v>4</v>
      </c>
      <c r="H12" s="3">
        <f t="shared" si="0"/>
        <v>5</v>
      </c>
      <c r="I12" s="3">
        <f t="shared" si="0"/>
        <v>6</v>
      </c>
    </row>
    <row r="13" spans="2:9" ht="15" x14ac:dyDescent="0.25">
      <c r="B13" s="4" t="s">
        <v>6</v>
      </c>
      <c r="C13" s="5"/>
      <c r="D13" s="5"/>
      <c r="E13" s="5"/>
      <c r="F13" s="5"/>
      <c r="G13" s="5"/>
      <c r="H13" s="5"/>
      <c r="I13" s="5"/>
    </row>
    <row r="14" spans="2:9" ht="15" x14ac:dyDescent="0.25">
      <c r="B14" s="20" t="s">
        <v>37</v>
      </c>
      <c r="C14" s="5">
        <v>10000</v>
      </c>
      <c r="D14" s="5"/>
      <c r="E14" s="5"/>
      <c r="F14" s="5"/>
      <c r="G14" s="5"/>
      <c r="H14" s="5"/>
      <c r="I14" s="5"/>
    </row>
    <row r="15" spans="2:9" ht="15" x14ac:dyDescent="0.25">
      <c r="B15" s="20" t="s">
        <v>38</v>
      </c>
      <c r="C15" s="5"/>
      <c r="D15" s="5">
        <v>500</v>
      </c>
      <c r="E15" s="5">
        <f t="shared" ref="E15:I16" si="1">D15</f>
        <v>500</v>
      </c>
      <c r="F15" s="5">
        <f t="shared" si="1"/>
        <v>500</v>
      </c>
      <c r="G15" s="5">
        <f t="shared" si="1"/>
        <v>500</v>
      </c>
      <c r="H15" s="5">
        <f t="shared" si="1"/>
        <v>500</v>
      </c>
      <c r="I15" s="5">
        <f t="shared" si="1"/>
        <v>500</v>
      </c>
    </row>
    <row r="16" spans="2:9" ht="15" x14ac:dyDescent="0.25">
      <c r="B16" s="20" t="s">
        <v>39</v>
      </c>
      <c r="C16" s="5"/>
      <c r="D16" s="5">
        <v>500</v>
      </c>
      <c r="E16" s="5">
        <f t="shared" si="1"/>
        <v>500</v>
      </c>
      <c r="F16" s="5">
        <f t="shared" si="1"/>
        <v>500</v>
      </c>
      <c r="G16" s="5">
        <f t="shared" si="1"/>
        <v>500</v>
      </c>
      <c r="H16" s="5">
        <f t="shared" si="1"/>
        <v>500</v>
      </c>
      <c r="I16" s="5">
        <f t="shared" si="1"/>
        <v>500</v>
      </c>
    </row>
    <row r="17" spans="2:9" ht="15" x14ac:dyDescent="0.25">
      <c r="B17" s="6"/>
      <c r="C17" s="5"/>
      <c r="D17" s="5"/>
      <c r="E17" s="5"/>
      <c r="F17" s="5"/>
      <c r="G17" s="5"/>
      <c r="H17" s="5"/>
      <c r="I17" s="5"/>
    </row>
    <row r="18" spans="2:9" ht="15" x14ac:dyDescent="0.25">
      <c r="B18" s="7" t="s">
        <v>8</v>
      </c>
      <c r="C18" s="8">
        <f t="shared" ref="C18:I18" si="2">SUM(C13:C17)</f>
        <v>10000</v>
      </c>
      <c r="D18" s="8">
        <f t="shared" si="2"/>
        <v>1000</v>
      </c>
      <c r="E18" s="8">
        <f t="shared" si="2"/>
        <v>1000</v>
      </c>
      <c r="F18" s="8">
        <f t="shared" si="2"/>
        <v>1000</v>
      </c>
      <c r="G18" s="8">
        <f t="shared" si="2"/>
        <v>1000</v>
      </c>
      <c r="H18" s="8">
        <f t="shared" si="2"/>
        <v>1000</v>
      </c>
      <c r="I18" s="8">
        <f t="shared" si="2"/>
        <v>1000</v>
      </c>
    </row>
    <row r="19" spans="2:9" ht="15" x14ac:dyDescent="0.25">
      <c r="B19" s="4" t="s">
        <v>9</v>
      </c>
      <c r="C19" s="5"/>
      <c r="D19" s="5"/>
      <c r="E19" s="5"/>
      <c r="F19" s="5"/>
      <c r="G19" s="5"/>
      <c r="H19" s="5"/>
      <c r="I19" s="5"/>
    </row>
    <row r="20" spans="2:9" ht="15" x14ac:dyDescent="0.25">
      <c r="B20" s="20" t="s">
        <v>40</v>
      </c>
      <c r="C20" s="5"/>
      <c r="D20" s="5">
        <v>3000</v>
      </c>
      <c r="E20" s="5">
        <v>3000</v>
      </c>
      <c r="F20" s="5">
        <v>3000</v>
      </c>
      <c r="G20" s="5">
        <v>3000</v>
      </c>
      <c r="H20" s="5">
        <v>3000</v>
      </c>
      <c r="I20" s="5">
        <v>3000</v>
      </c>
    </row>
    <row r="21" spans="2:9" ht="15" x14ac:dyDescent="0.25">
      <c r="B21" s="20" t="s">
        <v>41</v>
      </c>
      <c r="C21" s="5"/>
      <c r="D21" s="5"/>
      <c r="E21" s="5"/>
      <c r="F21" s="5"/>
      <c r="G21" s="5"/>
      <c r="H21" s="5"/>
      <c r="I21" s="5">
        <f>20%*C14</f>
        <v>2000</v>
      </c>
    </row>
    <row r="22" spans="2:9" ht="15" x14ac:dyDescent="0.25">
      <c r="B22" s="4"/>
      <c r="D22" s="5"/>
      <c r="E22" s="5"/>
      <c r="F22" s="5"/>
      <c r="G22" s="5"/>
      <c r="H22" s="5"/>
    </row>
    <row r="23" spans="2:9" ht="15" x14ac:dyDescent="0.25">
      <c r="B23" s="7" t="s">
        <v>11</v>
      </c>
      <c r="C23" s="8">
        <f t="shared" ref="C23:I23" si="3">SUM(C19:C22)</f>
        <v>0</v>
      </c>
      <c r="D23" s="8">
        <f t="shared" si="3"/>
        <v>3000</v>
      </c>
      <c r="E23" s="8">
        <f t="shared" si="3"/>
        <v>3000</v>
      </c>
      <c r="F23" s="8">
        <f t="shared" si="3"/>
        <v>3000</v>
      </c>
      <c r="G23" s="8">
        <f t="shared" si="3"/>
        <v>3000</v>
      </c>
      <c r="H23" s="8">
        <f t="shared" si="3"/>
        <v>3000</v>
      </c>
      <c r="I23" s="8">
        <f t="shared" si="3"/>
        <v>5000</v>
      </c>
    </row>
    <row r="24" spans="2:9" ht="15" x14ac:dyDescent="0.25">
      <c r="B24" s="9" t="s">
        <v>42</v>
      </c>
      <c r="C24" s="10">
        <f t="shared" ref="C24:I24" si="4">C23-C18</f>
        <v>-10000</v>
      </c>
      <c r="D24" s="10">
        <f t="shared" si="4"/>
        <v>2000</v>
      </c>
      <c r="E24" s="10">
        <f t="shared" si="4"/>
        <v>2000</v>
      </c>
      <c r="F24" s="10">
        <f t="shared" si="4"/>
        <v>2000</v>
      </c>
      <c r="G24" s="10">
        <f t="shared" si="4"/>
        <v>2000</v>
      </c>
      <c r="H24" s="10">
        <f t="shared" si="4"/>
        <v>2000</v>
      </c>
      <c r="I24" s="10">
        <f t="shared" si="4"/>
        <v>4000</v>
      </c>
    </row>
    <row r="25" spans="2:9" ht="15" x14ac:dyDescent="0.25">
      <c r="B25" s="3" t="s">
        <v>13</v>
      </c>
      <c r="C25" s="11">
        <f>C24</f>
        <v>-10000</v>
      </c>
      <c r="D25" s="11">
        <f t="shared" ref="D25:I25" si="5">C25+D24</f>
        <v>-8000</v>
      </c>
      <c r="E25" s="11">
        <f t="shared" si="5"/>
        <v>-6000</v>
      </c>
      <c r="F25" s="11">
        <f t="shared" si="5"/>
        <v>-4000</v>
      </c>
      <c r="G25" s="11">
        <f t="shared" si="5"/>
        <v>-2000</v>
      </c>
      <c r="H25" s="12">
        <f t="shared" si="5"/>
        <v>0</v>
      </c>
      <c r="I25" s="11">
        <f t="shared" si="5"/>
        <v>4000</v>
      </c>
    </row>
    <row r="26" spans="2:9" ht="15" x14ac:dyDescent="0.25">
      <c r="B26" s="14" t="s">
        <v>14</v>
      </c>
      <c r="C26" s="14">
        <v>5</v>
      </c>
      <c r="D26" s="14" t="s">
        <v>15</v>
      </c>
      <c r="E26" s="15"/>
      <c r="F26" s="15"/>
      <c r="G26" s="15"/>
    </row>
    <row r="27" spans="2:9" ht="15" x14ac:dyDescent="0.25">
      <c r="B27" s="9" t="s">
        <v>23</v>
      </c>
      <c r="C27" s="10">
        <f>C25</f>
        <v>-10000</v>
      </c>
      <c r="D27" s="10">
        <f t="shared" ref="D27:I27" si="6">D24/(1+$C$30)^D12</f>
        <v>1980.1980198019801</v>
      </c>
      <c r="E27" s="10">
        <f t="shared" si="6"/>
        <v>1960.5920988138419</v>
      </c>
      <c r="F27" s="10">
        <f t="shared" si="6"/>
        <v>1941.1802958552892</v>
      </c>
      <c r="G27" s="10">
        <f t="shared" si="6"/>
        <v>1921.9606889656325</v>
      </c>
      <c r="H27" s="10">
        <f t="shared" si="6"/>
        <v>1902.9313752134976</v>
      </c>
      <c r="I27" s="10">
        <f t="shared" si="6"/>
        <v>3768.1809410168266</v>
      </c>
    </row>
    <row r="28" spans="2:9" ht="15" x14ac:dyDescent="0.25">
      <c r="B28" s="3" t="s">
        <v>27</v>
      </c>
      <c r="C28" s="11">
        <f>C25</f>
        <v>-10000</v>
      </c>
      <c r="D28" s="11">
        <f t="shared" ref="D28:I28" si="7">C28+D27</f>
        <v>-8019.8019801980199</v>
      </c>
      <c r="E28" s="11">
        <f t="shared" si="7"/>
        <v>-6059.2098813841785</v>
      </c>
      <c r="F28" s="11">
        <f t="shared" si="7"/>
        <v>-4118.0295855288896</v>
      </c>
      <c r="G28" s="11">
        <f t="shared" si="7"/>
        <v>-2196.0688965632571</v>
      </c>
      <c r="H28" s="11">
        <f t="shared" si="7"/>
        <v>-293.13752134975948</v>
      </c>
      <c r="I28" s="12">
        <f t="shared" si="7"/>
        <v>3475.0434196670672</v>
      </c>
    </row>
    <row r="30" spans="2:9" x14ac:dyDescent="0.2">
      <c r="B30" s="1" t="s">
        <v>43</v>
      </c>
      <c r="C30" s="16">
        <v>0.01</v>
      </c>
      <c r="D30" t="s">
        <v>18</v>
      </c>
    </row>
  </sheetData>
  <mergeCells count="1">
    <mergeCell ref="B11:I11"/>
  </mergeCells>
  <conditionalFormatting sqref="E26:G26">
    <cfRule type="cellIs" dxfId="0" priority="2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Aula 10 Exemplo 01</vt:lpstr>
      <vt:lpstr>Aula 10 Exemplo 02</vt:lpstr>
      <vt:lpstr>Aula 10 Exemplo 03</vt:lpstr>
      <vt:lpstr>Aula 10 Exemplo 04</vt:lpstr>
      <vt:lpstr>Aula 10 Exemplo 05</vt:lpstr>
    </vt:vector>
  </TitlesOfParts>
  <Company>Banco Reg. de Desenvolv. do Extremo Sul - BRDE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CarlosBoabaid</dc:creator>
  <dc:description/>
  <cp:lastModifiedBy>Carlos Boabaid Neto</cp:lastModifiedBy>
  <cp:revision>2</cp:revision>
  <cp:lastPrinted>2008-11-05T17:11:41Z</cp:lastPrinted>
  <dcterms:created xsi:type="dcterms:W3CDTF">2002-07-22T19:40:15Z</dcterms:created>
  <dcterms:modified xsi:type="dcterms:W3CDTF">2025-10-17T18:19:50Z</dcterms:modified>
  <dc:language>pt-BR</dc:language>
</cp:coreProperties>
</file>