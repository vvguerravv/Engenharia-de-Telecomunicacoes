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la 12 Exemplo 01" sheetId="1" r:id="rId4"/>
    <sheet state="visible" name="Aula 12 Exemplo 02" sheetId="2" r:id="rId5"/>
    <sheet state="visible" name="Aula 12 Exemplo 03" sheetId="3" r:id="rId6"/>
    <sheet state="visible" name="Aula 12 Exemplo 04" sheetId="4" r:id="rId7"/>
  </sheets>
  <definedNames/>
  <calcPr/>
  <extLst>
    <ext uri="GoogleSheetsCustomDataVersion2">
      <go:sheetsCustomData xmlns:go="http://customooxmlschemas.google.com/" r:id="rId8" roundtripDataChecksum="IYoxZsXHYP3gdlVERcbFjPsOJxzlCjVKFo9EdDuqutY="/>
    </ext>
  </extLst>
</workbook>
</file>

<file path=xl/sharedStrings.xml><?xml version="1.0" encoding="utf-8"?>
<sst xmlns="http://schemas.openxmlformats.org/spreadsheetml/2006/main" count="193" uniqueCount="113">
  <si>
    <t xml:space="preserve">Pretende-se investir R$12.000 na implantação de uma mini-usina de geração fotovoltaica residencial. </t>
  </si>
  <si>
    <t xml:space="preserve">A economia na tarifa de energia elétrica mensal é estimada em R$300. </t>
  </si>
  <si>
    <t xml:space="preserve">Determine a TIR para um prazo de 5 anos de operação. </t>
  </si>
  <si>
    <t>A taxa mínima de atratividade é de 1% a.m.</t>
  </si>
  <si>
    <t xml:space="preserve">taxa de juros de desconto = </t>
  </si>
  <si>
    <t>a.m.</t>
  </si>
  <si>
    <t>&gt;&gt; TMA: taxa mínima de atratividade</t>
  </si>
  <si>
    <t>Fluxo de caixa</t>
  </si>
  <si>
    <t>Período</t>
  </si>
  <si>
    <t>saída de caixa</t>
  </si>
  <si>
    <t>sub-total saídas</t>
  </si>
  <si>
    <t>entrada de caixa</t>
  </si>
  <si>
    <t>sub-total entradas</t>
  </si>
  <si>
    <t>fluxo de caixa</t>
  </si>
  <si>
    <t>FC acumulado = saldo</t>
  </si>
  <si>
    <t>FC descontado</t>
  </si>
  <si>
    <t>FC descontado acumulado</t>
  </si>
  <si>
    <t xml:space="preserve">Pay-back simples = </t>
  </si>
  <si>
    <t>meses</t>
  </si>
  <si>
    <t>Pay-back descontado =</t>
  </si>
  <si>
    <t>ou</t>
  </si>
  <si>
    <t>meses e</t>
  </si>
  <si>
    <t>dias</t>
  </si>
  <si>
    <t xml:space="preserve">VPL = valor presente líquido = </t>
  </si>
  <si>
    <t>&gt;&gt; valor do fluxo de caixa descontado acumulado ao final do prazo (60 meses)</t>
  </si>
  <si>
    <t>&gt;&gt; utilizando a função VPL do Excel para calcular o valor presente dos saldos futuros do fluxo de caixa</t>
  </si>
  <si>
    <t xml:space="preserve">&gt;&gt; somando o resultado acima ao saldo no tempo zero. </t>
  </si>
  <si>
    <t xml:space="preserve">&gt;&gt; relação entre o VPL e o valor investido: ou seja, quanto o valor do retorno (o VPL) representa em relação ao capital investido. </t>
  </si>
  <si>
    <t xml:space="preserve">TIR = taxa interna de retorno = </t>
  </si>
  <si>
    <t>&gt;&gt; taxa de desconto que zera o VPL</t>
  </si>
  <si>
    <t>[1]</t>
  </si>
  <si>
    <t>Calcular, pelo método VPL, qual das alternativas abaixo para a compra de um equipamento é mais econômica.</t>
  </si>
  <si>
    <t>A taxa mínima de atratividade é 10% a.a.</t>
  </si>
  <si>
    <t>Projeto A</t>
  </si>
  <si>
    <t>Projeto B</t>
  </si>
  <si>
    <t>Custo inicial</t>
  </si>
  <si>
    <t>Vida útil [anos]</t>
  </si>
  <si>
    <t>Valor residual</t>
  </si>
  <si>
    <t>custo anual de operação</t>
  </si>
  <si>
    <t xml:space="preserve">Solução: </t>
  </si>
  <si>
    <t xml:space="preserve">Como os tempos de vida são diferentes, é necessário ter um horizonte comum de planejamento. </t>
  </si>
  <si>
    <t xml:space="preserve">Assim, o horizonte deve ser de 8 anos, e portanto o projeto A precisa ser repetido. </t>
  </si>
  <si>
    <t>Fluxo de caixa: projeto A</t>
  </si>
  <si>
    <t>custo inicial</t>
  </si>
  <si>
    <t>custo anual da operação</t>
  </si>
  <si>
    <t>valor residual</t>
  </si>
  <si>
    <t>FC simples</t>
  </si>
  <si>
    <t>FC acumulado</t>
  </si>
  <si>
    <t>&gt;&gt; usando a relação de equivalência F/P</t>
  </si>
  <si>
    <t>FC descontado, acumulado</t>
  </si>
  <si>
    <t>VPL =</t>
  </si>
  <si>
    <t>à TMA de:</t>
  </si>
  <si>
    <t>a.a.</t>
  </si>
  <si>
    <t>&gt;&gt; usando a função VPL</t>
  </si>
  <si>
    <t>Fluxo de caixa: projeto B</t>
  </si>
  <si>
    <t>Conclusão:</t>
  </si>
  <si>
    <t xml:space="preserve">A alternativa B é mais econômica, pois o VPL dos seus custos é menor. </t>
  </si>
  <si>
    <t xml:space="preserve">Repetir o Exemplo 02, admitindo-se que a empresa só disponha de R$400.000 para investimento. </t>
  </si>
  <si>
    <t>Calcular pelo método VPL qual das alternativas é mais econômica, supondo que a empresa possa captar financiamento no mercado</t>
  </si>
  <si>
    <t xml:space="preserve">a uma taxa de juros de 12% a.a., amortizável em parcelas iguais. </t>
  </si>
  <si>
    <t xml:space="preserve">Como a empresa só dispõe de R$400.000, caso deseje implantar o Projeto B, precisará captar um financiamento de R$200.000 no mercado. </t>
  </si>
  <si>
    <t xml:space="preserve">Então, os custos do financiamento precisam ser considerados no fluxo de caixa. </t>
  </si>
  <si>
    <t>Admitindo que a empresa opter por pagar o financiamento em 8 anos:</t>
  </si>
  <si>
    <t xml:space="preserve">P = </t>
  </si>
  <si>
    <t xml:space="preserve">n = </t>
  </si>
  <si>
    <t xml:space="preserve">i = </t>
  </si>
  <si>
    <t xml:space="preserve">A = </t>
  </si>
  <si>
    <t>Então, o fluxo de caixa do projeto B ficará assim:</t>
  </si>
  <si>
    <t>pagamento do financiamento</t>
  </si>
  <si>
    <t>financiamento</t>
  </si>
  <si>
    <t xml:space="preserve">Projeto A: </t>
  </si>
  <si>
    <t xml:space="preserve">Observa-se que, com a necessidade de se financiar parte do investimento, o Projeto B torna-se menos econômico do que o Projeto A. </t>
  </si>
  <si>
    <t>Uma empresa dispõe de duas alternativas para introduzir uma linha de fabricação para um dos componentes de seu principal produto.</t>
  </si>
  <si>
    <t xml:space="preserve">A alternativa A é um processo automatizado que exigirá um investimento de $20.000 e propiciará economias anuais de $3.116 durante 10 anos. </t>
  </si>
  <si>
    <t xml:space="preserve">A alternativa B é um processo semi-automatizado com investimento mais baixo ($10.000) mas, devido ao uso de mão-de-obra, </t>
  </si>
  <si>
    <t xml:space="preserve">propiciará uma economia anual de apenas $1.628, também durante 10 anos. </t>
  </si>
  <si>
    <t>Qual a melhor alternativa?</t>
  </si>
  <si>
    <t>A taxa mínima de atratividade é 6% a.a.</t>
  </si>
  <si>
    <t>Fluxo de caixa: alternativa A</t>
  </si>
  <si>
    <t>economia</t>
  </si>
  <si>
    <t xml:space="preserve">TIR = </t>
  </si>
  <si>
    <t>TMA =</t>
  </si>
  <si>
    <t xml:space="preserve">Pay-back descontado = </t>
  </si>
  <si>
    <t>anos</t>
  </si>
  <si>
    <t>Fluxo de caixa: alternativa B</t>
  </si>
  <si>
    <t xml:space="preserve">A alternativa B apresenta a maior taxa interna de retorno. </t>
  </si>
  <si>
    <t xml:space="preserve">Observar que as duas alternativas apresentam TIR maior do que a TMA da empresa e, portanto, ambas seriam viáveis para a empresa. </t>
  </si>
  <si>
    <t xml:space="preserve">Entretanto, ao se analisar pelo método VPL: </t>
  </si>
  <si>
    <t xml:space="preserve">VPL (alternativa A) = </t>
  </si>
  <si>
    <t xml:space="preserve">VPL (alternativa B) = </t>
  </si>
  <si>
    <t xml:space="preserve">Pelo método VPL, a alternativa A é mais atraente, o que em princípio parece estar em contradição com o resultado da TIR. </t>
  </si>
  <si>
    <t xml:space="preserve">Para se resolver a contradição, seria necessário considerar o que se faria com a diferença dos valores do investimento inicial, </t>
  </si>
  <si>
    <t xml:space="preserve">ou também o que seria feito com as parcelas (economias) que retornarão do primeiro ao décimo ano. </t>
  </si>
  <si>
    <t>É o problema do reinvestimento.</t>
  </si>
  <si>
    <t xml:space="preserve">Analisando o que aconteceria com a diferença de custos entre os projetos (A-B): </t>
  </si>
  <si>
    <t xml:space="preserve">P (A-B) = </t>
  </si>
  <si>
    <t>&gt;&gt; valor economizado no investimento inicial, ao se optar pela alternativa B</t>
  </si>
  <si>
    <t>&gt;&gt; considerando que a empresa pudesse investir este valor economizado à sua TMA</t>
  </si>
  <si>
    <t>&gt;&gt; este valor se somaria à economia gerada pela alternativa B</t>
  </si>
  <si>
    <t xml:space="preserve">Então, o fluxo de caixa adaptado da alternativa B seria: </t>
  </si>
  <si>
    <t>investimento da diferença</t>
  </si>
  <si>
    <t>economia gerada</t>
  </si>
  <si>
    <t>retorno gerado pelo investimento</t>
  </si>
  <si>
    <t xml:space="preserve">TIR (alternativa B) = </t>
  </si>
  <si>
    <t xml:space="preserve">Observa-se então que, se a diferença de investimento inicial fôr investida à TMA considerada, o valor do VPL da alternativa B NÃO SE ALTERA, </t>
  </si>
  <si>
    <t xml:space="preserve">mas a TIR da alternativa B REDUZ-SE, ficando inferior à TIR da alternativa A (que era de 8,997%), </t>
  </si>
  <si>
    <t xml:space="preserve">o que corrobora a conclusão obtida analisando-se o VPL das duas alternativas, ou seja, de que a alternativa A é a mais econômica. </t>
  </si>
  <si>
    <t xml:space="preserve">O valor economizado no investimento inicial da alternativa B precisaria ser investido a uma taxa de pelo menos 7,97% a.a., </t>
  </si>
  <si>
    <t>para que a alternativa B se tornasse mais atraente (comprove isto alterando a célula B56)</t>
  </si>
  <si>
    <t>CONCLUSÃO</t>
  </si>
  <si>
    <t xml:space="preserve">A TIR não representa um valor monetário, mas uma taxa. </t>
  </si>
  <si>
    <t xml:space="preserve">Portanto, não deve ser utilizada para comparação entre projetos diferentes (com valores diferentes). </t>
  </si>
  <si>
    <t xml:space="preserve">A principal conclusão da TIR é indicar se um determinado projeto é viável, quando comparado com a TMA.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</si>
</sst>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%"/>
    <numFmt numFmtId="165" formatCode="0.000%"/>
    <numFmt numFmtId="166" formatCode="0.0000%"/>
    <numFmt numFmtId="167" formatCode="#,##0.00_ ;[Red]\-#,##0.00\ "/>
    <numFmt numFmtId="168" formatCode="#,##0_ ;[Red]\-#,##0\ "/>
  </numFmts>
  <fonts count="9">
    <font>
      <sz val="10.0"/>
      <color rgb="FF000000"/>
      <name val="Arial"/>
      <scheme val="minor"/>
    </font>
    <font>
      <sz val="10.0"/>
      <color theme="1"/>
      <name val="Arial"/>
    </font>
    <font>
      <sz val="10.0"/>
      <color theme="1"/>
      <name val="Calibri"/>
    </font>
    <font>
      <sz val="11.0"/>
      <color theme="1"/>
      <name val="Calibri"/>
    </font>
    <font/>
    <font>
      <i/>
      <sz val="10.0"/>
      <color theme="1"/>
      <name val="Calibri"/>
    </font>
    <font>
      <color theme="1"/>
      <name val="Arial"/>
      <scheme val="minor"/>
    </font>
    <font>
      <sz val="11.0"/>
      <color rgb="FFFF0000"/>
      <name val="Calibri"/>
    </font>
    <font>
      <i/>
      <sz val="10.0"/>
      <color rgb="FFFF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FFFFCC"/>
        <bgColor rgb="FFFFFFCC"/>
      </patternFill>
    </fill>
    <fill>
      <patternFill patternType="solid">
        <fgColor rgb="FFFDE9D9"/>
        <bgColor rgb="FFFDE9D9"/>
      </patternFill>
    </fill>
    <fill>
      <patternFill patternType="solid">
        <fgColor rgb="FFFBD4B4"/>
        <bgColor rgb="FFFBD4B4"/>
      </patternFill>
    </fill>
    <fill>
      <patternFill patternType="solid">
        <fgColor rgb="FFB6DDE8"/>
        <bgColor rgb="FFB6DDE8"/>
      </patternFill>
    </fill>
    <fill>
      <patternFill patternType="solid">
        <fgColor rgb="FFD6E3BC"/>
        <bgColor rgb="FFD6E3BC"/>
      </patternFill>
    </fill>
    <fill>
      <patternFill patternType="solid">
        <fgColor rgb="FFDAEEF3"/>
        <bgColor rgb="FFDAEEF3"/>
      </patternFill>
    </fill>
  </fills>
  <borders count="10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1" fillId="2" fontId="2" numFmtId="164" xfId="0" applyBorder="1" applyFont="1" applyNumberFormat="1"/>
    <xf borderId="0" fillId="0" fontId="2" numFmtId="0" xfId="0" applyFont="1"/>
    <xf borderId="2" fillId="3" fontId="3" numFmtId="0" xfId="0" applyAlignment="1" applyBorder="1" applyFill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1" fillId="3" fontId="3" numFmtId="0" xfId="0" applyBorder="1" applyFont="1"/>
    <xf borderId="5" fillId="0" fontId="2" numFmtId="0" xfId="0" applyBorder="1" applyFont="1"/>
    <xf borderId="0" fillId="0" fontId="2" numFmtId="4" xfId="0" applyFont="1" applyNumberFormat="1"/>
    <xf borderId="0" fillId="0" fontId="5" numFmtId="0" xfId="0" applyFont="1"/>
    <xf borderId="6" fillId="0" fontId="2" numFmtId="0" xfId="0" applyBorder="1" applyFont="1"/>
    <xf borderId="6" fillId="0" fontId="2" numFmtId="4" xfId="0" applyBorder="1" applyFont="1" applyNumberFormat="1"/>
    <xf borderId="7" fillId="0" fontId="2" numFmtId="0" xfId="0" applyBorder="1" applyFont="1"/>
    <xf borderId="7" fillId="0" fontId="2" numFmtId="4" xfId="0" applyBorder="1" applyFont="1" applyNumberFormat="1"/>
    <xf borderId="5" fillId="0" fontId="2" numFmtId="4" xfId="0" applyBorder="1" applyFont="1" applyNumberFormat="1"/>
    <xf borderId="8" fillId="4" fontId="2" numFmtId="4" xfId="0" applyBorder="1" applyFill="1" applyFont="1" applyNumberFormat="1"/>
    <xf borderId="0" fillId="0" fontId="2" numFmtId="0" xfId="0" applyAlignment="1" applyFont="1">
      <alignment horizontal="left"/>
    </xf>
    <xf borderId="1" fillId="5" fontId="2" numFmtId="4" xfId="0" applyBorder="1" applyFill="1" applyFont="1" applyNumberFormat="1"/>
    <xf borderId="1" fillId="6" fontId="2" numFmtId="4" xfId="0" applyBorder="1" applyFill="1" applyFont="1" applyNumberFormat="1"/>
    <xf borderId="0" fillId="0" fontId="3" numFmtId="0" xfId="0" applyAlignment="1" applyFont="1">
      <alignment horizontal="left"/>
    </xf>
    <xf borderId="0" fillId="0" fontId="3" numFmtId="0" xfId="0" applyFont="1"/>
    <xf borderId="0" fillId="0" fontId="3" numFmtId="165" xfId="0" applyFont="1" applyNumberFormat="1"/>
    <xf borderId="1" fillId="7" fontId="3" numFmtId="0" xfId="0" applyBorder="1" applyFill="1" applyFont="1"/>
    <xf borderId="1" fillId="7" fontId="3" numFmtId="4" xfId="0" applyBorder="1" applyFont="1" applyNumberFormat="1"/>
    <xf borderId="0" fillId="0" fontId="3" numFmtId="10" xfId="0" applyFont="1" applyNumberFormat="1"/>
    <xf borderId="1" fillId="7" fontId="2" numFmtId="166" xfId="0" applyBorder="1" applyFont="1" applyNumberFormat="1"/>
    <xf borderId="0" fillId="0" fontId="6" numFmtId="0" xfId="0" applyFont="1"/>
    <xf borderId="5" fillId="0" fontId="1" numFmtId="0" xfId="0" applyBorder="1" applyFont="1"/>
    <xf borderId="5" fillId="0" fontId="1" numFmtId="0" xfId="0" applyAlignment="1" applyBorder="1" applyFont="1">
      <alignment horizontal="center"/>
    </xf>
    <xf borderId="0" fillId="0" fontId="3" numFmtId="3" xfId="0" applyFont="1" applyNumberFormat="1"/>
    <xf borderId="5" fillId="0" fontId="3" numFmtId="0" xfId="0" applyBorder="1" applyFont="1"/>
    <xf borderId="6" fillId="0" fontId="3" numFmtId="0" xfId="0" applyBorder="1" applyFont="1"/>
    <xf borderId="6" fillId="0" fontId="3" numFmtId="3" xfId="0" applyBorder="1" applyFont="1" applyNumberFormat="1"/>
    <xf borderId="0" fillId="0" fontId="1" numFmtId="3" xfId="0" applyFont="1" applyNumberFormat="1"/>
    <xf borderId="7" fillId="0" fontId="3" numFmtId="0" xfId="0" applyBorder="1" applyFont="1"/>
    <xf borderId="7" fillId="0" fontId="3" numFmtId="3" xfId="0" applyBorder="1" applyFont="1" applyNumberFormat="1"/>
    <xf borderId="5" fillId="0" fontId="3" numFmtId="3" xfId="0" applyBorder="1" applyFont="1" applyNumberFormat="1"/>
    <xf borderId="7" fillId="0" fontId="3" numFmtId="4" xfId="0" applyBorder="1" applyFont="1" applyNumberFormat="1"/>
    <xf borderId="5" fillId="0" fontId="3" numFmtId="4" xfId="0" applyBorder="1" applyFont="1" applyNumberFormat="1"/>
    <xf borderId="1" fillId="4" fontId="3" numFmtId="0" xfId="0" applyBorder="1" applyFont="1"/>
    <xf borderId="1" fillId="4" fontId="3" numFmtId="167" xfId="0" applyBorder="1" applyFont="1" applyNumberFormat="1"/>
    <xf borderId="0" fillId="0" fontId="7" numFmtId="167" xfId="0" applyFont="1" applyNumberFormat="1"/>
    <xf borderId="0" fillId="0" fontId="8" numFmtId="0" xfId="0" applyFont="1"/>
    <xf borderId="0" fillId="0" fontId="3" numFmtId="4" xfId="0" applyFont="1" applyNumberFormat="1"/>
    <xf borderId="6" fillId="0" fontId="3" numFmtId="4" xfId="0" applyBorder="1" applyFont="1" applyNumberFormat="1"/>
    <xf borderId="0" fillId="0" fontId="3" numFmtId="9" xfId="0" applyFont="1" applyNumberFormat="1"/>
    <xf borderId="1" fillId="4" fontId="7" numFmtId="167" xfId="0" applyBorder="1" applyFont="1" applyNumberFormat="1"/>
    <xf borderId="9" fillId="8" fontId="3" numFmtId="0" xfId="0" applyBorder="1" applyFill="1" applyFont="1"/>
    <xf borderId="9" fillId="8" fontId="3" numFmtId="3" xfId="0" applyBorder="1" applyFont="1" applyNumberFormat="1"/>
    <xf borderId="8" fillId="4" fontId="3" numFmtId="4" xfId="0" applyBorder="1" applyFont="1" applyNumberFormat="1"/>
    <xf borderId="1" fillId="4" fontId="3" numFmtId="0" xfId="0" applyAlignment="1" applyBorder="1" applyFont="1">
      <alignment horizontal="left"/>
    </xf>
    <xf borderId="1" fillId="4" fontId="3" numFmtId="165" xfId="0" applyBorder="1" applyFont="1" applyNumberFormat="1"/>
    <xf borderId="1" fillId="4" fontId="3" numFmtId="168" xfId="0" applyBorder="1" applyFont="1" applyNumberFormat="1"/>
    <xf borderId="1" fillId="4" fontId="1" numFmtId="0" xfId="0" applyBorder="1" applyFont="1"/>
    <xf borderId="0" fillId="0" fontId="1" numFmtId="10" xfId="0" applyFont="1" applyNumberFormat="1"/>
    <xf borderId="0" fillId="0" fontId="3" numFmtId="168" xfId="0" applyFont="1" applyNumberFormat="1"/>
  </cellXfs>
  <cellStyles count="1">
    <cellStyle xfId="0" name="Normal" builtinId="0"/>
  </cellStyles>
  <dxfs count="1"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0.13"/>
    <col customWidth="1" min="2" max="2" width="10.38"/>
    <col customWidth="1" min="3" max="3" width="11.63"/>
    <col customWidth="1" min="4" max="4" width="10.38"/>
    <col customWidth="1" min="5" max="5" width="10.13"/>
    <col customWidth="1" min="6" max="7" width="10.38"/>
    <col customWidth="1" min="8" max="9" width="10.0"/>
    <col customWidth="1" min="10" max="43" width="9.25"/>
    <col customWidth="1" min="44" max="82" width="9.13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</row>
    <row r="2" ht="12.75" customHeight="1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</row>
    <row r="3" ht="12.75" customHeight="1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</row>
    <row r="4" ht="12.75" customHeight="1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</row>
    <row r="5" ht="12.75" customHeight="1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</row>
    <row r="6" ht="12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</row>
    <row r="7" ht="12.75" customHeight="1">
      <c r="A7" s="2" t="s">
        <v>4</v>
      </c>
      <c r="B7" s="2"/>
      <c r="C7" s="3">
        <v>0.01</v>
      </c>
      <c r="D7" s="2" t="s">
        <v>5</v>
      </c>
      <c r="E7" s="4" t="s">
        <v>6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</row>
    <row r="8" ht="12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</row>
    <row r="9" ht="12.75" customHeight="1">
      <c r="A9" s="5" t="s">
        <v>7</v>
      </c>
      <c r="B9" s="6"/>
      <c r="C9" s="6"/>
      <c r="D9" s="6"/>
      <c r="E9" s="6"/>
      <c r="F9" s="6"/>
      <c r="G9" s="6"/>
      <c r="H9" s="7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</row>
    <row r="10" ht="12.75" customHeight="1">
      <c r="A10" s="9" t="s">
        <v>8</v>
      </c>
      <c r="B10" s="9">
        <v>0.0</v>
      </c>
      <c r="C10" s="9">
        <f t="shared" ref="C10:BJ10" si="1">B10+1</f>
        <v>1</v>
      </c>
      <c r="D10" s="9">
        <f t="shared" si="1"/>
        <v>2</v>
      </c>
      <c r="E10" s="9">
        <f t="shared" si="1"/>
        <v>3</v>
      </c>
      <c r="F10" s="9">
        <f t="shared" si="1"/>
        <v>4</v>
      </c>
      <c r="G10" s="9">
        <f t="shared" si="1"/>
        <v>5</v>
      </c>
      <c r="H10" s="9">
        <f t="shared" si="1"/>
        <v>6</v>
      </c>
      <c r="I10" s="9">
        <f t="shared" si="1"/>
        <v>7</v>
      </c>
      <c r="J10" s="9">
        <f t="shared" si="1"/>
        <v>8</v>
      </c>
      <c r="K10" s="9">
        <f t="shared" si="1"/>
        <v>9</v>
      </c>
      <c r="L10" s="9">
        <f t="shared" si="1"/>
        <v>10</v>
      </c>
      <c r="M10" s="9">
        <f t="shared" si="1"/>
        <v>11</v>
      </c>
      <c r="N10" s="9">
        <f t="shared" si="1"/>
        <v>12</v>
      </c>
      <c r="O10" s="9">
        <f t="shared" si="1"/>
        <v>13</v>
      </c>
      <c r="P10" s="9">
        <f t="shared" si="1"/>
        <v>14</v>
      </c>
      <c r="Q10" s="9">
        <f t="shared" si="1"/>
        <v>15</v>
      </c>
      <c r="R10" s="9">
        <f t="shared" si="1"/>
        <v>16</v>
      </c>
      <c r="S10" s="9">
        <f t="shared" si="1"/>
        <v>17</v>
      </c>
      <c r="T10" s="9">
        <f t="shared" si="1"/>
        <v>18</v>
      </c>
      <c r="U10" s="9">
        <f t="shared" si="1"/>
        <v>19</v>
      </c>
      <c r="V10" s="9">
        <f t="shared" si="1"/>
        <v>20</v>
      </c>
      <c r="W10" s="9">
        <f t="shared" si="1"/>
        <v>21</v>
      </c>
      <c r="X10" s="9">
        <f t="shared" si="1"/>
        <v>22</v>
      </c>
      <c r="Y10" s="9">
        <f t="shared" si="1"/>
        <v>23</v>
      </c>
      <c r="Z10" s="9">
        <f t="shared" si="1"/>
        <v>24</v>
      </c>
      <c r="AA10" s="9">
        <f t="shared" si="1"/>
        <v>25</v>
      </c>
      <c r="AB10" s="9">
        <f t="shared" si="1"/>
        <v>26</v>
      </c>
      <c r="AC10" s="9">
        <f t="shared" si="1"/>
        <v>27</v>
      </c>
      <c r="AD10" s="9">
        <f t="shared" si="1"/>
        <v>28</v>
      </c>
      <c r="AE10" s="9">
        <f t="shared" si="1"/>
        <v>29</v>
      </c>
      <c r="AF10" s="9">
        <f t="shared" si="1"/>
        <v>30</v>
      </c>
      <c r="AG10" s="9">
        <f t="shared" si="1"/>
        <v>31</v>
      </c>
      <c r="AH10" s="9">
        <f t="shared" si="1"/>
        <v>32</v>
      </c>
      <c r="AI10" s="9">
        <f t="shared" si="1"/>
        <v>33</v>
      </c>
      <c r="AJ10" s="9">
        <f t="shared" si="1"/>
        <v>34</v>
      </c>
      <c r="AK10" s="9">
        <f t="shared" si="1"/>
        <v>35</v>
      </c>
      <c r="AL10" s="9">
        <f t="shared" si="1"/>
        <v>36</v>
      </c>
      <c r="AM10" s="9">
        <f t="shared" si="1"/>
        <v>37</v>
      </c>
      <c r="AN10" s="9">
        <f t="shared" si="1"/>
        <v>38</v>
      </c>
      <c r="AO10" s="9">
        <f t="shared" si="1"/>
        <v>39</v>
      </c>
      <c r="AP10" s="9">
        <f t="shared" si="1"/>
        <v>40</v>
      </c>
      <c r="AQ10" s="9">
        <f t="shared" si="1"/>
        <v>41</v>
      </c>
      <c r="AR10" s="9">
        <f t="shared" si="1"/>
        <v>42</v>
      </c>
      <c r="AS10" s="9">
        <f t="shared" si="1"/>
        <v>43</v>
      </c>
      <c r="AT10" s="9">
        <f t="shared" si="1"/>
        <v>44</v>
      </c>
      <c r="AU10" s="9">
        <f t="shared" si="1"/>
        <v>45</v>
      </c>
      <c r="AV10" s="9">
        <f t="shared" si="1"/>
        <v>46</v>
      </c>
      <c r="AW10" s="9">
        <f t="shared" si="1"/>
        <v>47</v>
      </c>
      <c r="AX10" s="9">
        <f t="shared" si="1"/>
        <v>48</v>
      </c>
      <c r="AY10" s="9">
        <f t="shared" si="1"/>
        <v>49</v>
      </c>
      <c r="AZ10" s="9">
        <f t="shared" si="1"/>
        <v>50</v>
      </c>
      <c r="BA10" s="9">
        <f t="shared" si="1"/>
        <v>51</v>
      </c>
      <c r="BB10" s="9">
        <f t="shared" si="1"/>
        <v>52</v>
      </c>
      <c r="BC10" s="9">
        <f t="shared" si="1"/>
        <v>53</v>
      </c>
      <c r="BD10" s="9">
        <f t="shared" si="1"/>
        <v>54</v>
      </c>
      <c r="BE10" s="9">
        <f t="shared" si="1"/>
        <v>55</v>
      </c>
      <c r="BF10" s="9">
        <f t="shared" si="1"/>
        <v>56</v>
      </c>
      <c r="BG10" s="9">
        <f t="shared" si="1"/>
        <v>57</v>
      </c>
      <c r="BH10" s="9">
        <f t="shared" si="1"/>
        <v>58</v>
      </c>
      <c r="BI10" s="9">
        <f t="shared" si="1"/>
        <v>59</v>
      </c>
      <c r="BJ10" s="9">
        <f t="shared" si="1"/>
        <v>60</v>
      </c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</row>
    <row r="11" ht="12.75" customHeight="1">
      <c r="A11" s="4" t="s">
        <v>9</v>
      </c>
      <c r="B11" s="10">
        <v>12000.0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</row>
    <row r="12" ht="12.75" customHeight="1">
      <c r="A12" s="11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</row>
    <row r="13" ht="12.75" customHeight="1">
      <c r="A13" s="12" t="s">
        <v>10</v>
      </c>
      <c r="B13" s="13">
        <f t="shared" ref="B13:BJ13" si="2">SUM(B11:B12)</f>
        <v>12000</v>
      </c>
      <c r="C13" s="13">
        <f t="shared" si="2"/>
        <v>0</v>
      </c>
      <c r="D13" s="13">
        <f t="shared" si="2"/>
        <v>0</v>
      </c>
      <c r="E13" s="13">
        <f t="shared" si="2"/>
        <v>0</v>
      </c>
      <c r="F13" s="13">
        <f t="shared" si="2"/>
        <v>0</v>
      </c>
      <c r="G13" s="13">
        <f t="shared" si="2"/>
        <v>0</v>
      </c>
      <c r="H13" s="13">
        <f t="shared" si="2"/>
        <v>0</v>
      </c>
      <c r="I13" s="13">
        <f t="shared" si="2"/>
        <v>0</v>
      </c>
      <c r="J13" s="13">
        <f t="shared" si="2"/>
        <v>0</v>
      </c>
      <c r="K13" s="13">
        <f t="shared" si="2"/>
        <v>0</v>
      </c>
      <c r="L13" s="13">
        <f t="shared" si="2"/>
        <v>0</v>
      </c>
      <c r="M13" s="13">
        <f t="shared" si="2"/>
        <v>0</v>
      </c>
      <c r="N13" s="13">
        <f t="shared" si="2"/>
        <v>0</v>
      </c>
      <c r="O13" s="13">
        <f t="shared" si="2"/>
        <v>0</v>
      </c>
      <c r="P13" s="13">
        <f t="shared" si="2"/>
        <v>0</v>
      </c>
      <c r="Q13" s="13">
        <f t="shared" si="2"/>
        <v>0</v>
      </c>
      <c r="R13" s="13">
        <f t="shared" si="2"/>
        <v>0</v>
      </c>
      <c r="S13" s="13">
        <f t="shared" si="2"/>
        <v>0</v>
      </c>
      <c r="T13" s="13">
        <f t="shared" si="2"/>
        <v>0</v>
      </c>
      <c r="U13" s="13">
        <f t="shared" si="2"/>
        <v>0</v>
      </c>
      <c r="V13" s="13">
        <f t="shared" si="2"/>
        <v>0</v>
      </c>
      <c r="W13" s="13">
        <f t="shared" si="2"/>
        <v>0</v>
      </c>
      <c r="X13" s="13">
        <f t="shared" si="2"/>
        <v>0</v>
      </c>
      <c r="Y13" s="13">
        <f t="shared" si="2"/>
        <v>0</v>
      </c>
      <c r="Z13" s="13">
        <f t="shared" si="2"/>
        <v>0</v>
      </c>
      <c r="AA13" s="13">
        <f t="shared" si="2"/>
        <v>0</v>
      </c>
      <c r="AB13" s="13">
        <f t="shared" si="2"/>
        <v>0</v>
      </c>
      <c r="AC13" s="13">
        <f t="shared" si="2"/>
        <v>0</v>
      </c>
      <c r="AD13" s="13">
        <f t="shared" si="2"/>
        <v>0</v>
      </c>
      <c r="AE13" s="13">
        <f t="shared" si="2"/>
        <v>0</v>
      </c>
      <c r="AF13" s="13">
        <f t="shared" si="2"/>
        <v>0</v>
      </c>
      <c r="AG13" s="13">
        <f t="shared" si="2"/>
        <v>0</v>
      </c>
      <c r="AH13" s="13">
        <f t="shared" si="2"/>
        <v>0</v>
      </c>
      <c r="AI13" s="13">
        <f t="shared" si="2"/>
        <v>0</v>
      </c>
      <c r="AJ13" s="13">
        <f t="shared" si="2"/>
        <v>0</v>
      </c>
      <c r="AK13" s="13">
        <f t="shared" si="2"/>
        <v>0</v>
      </c>
      <c r="AL13" s="13">
        <f t="shared" si="2"/>
        <v>0</v>
      </c>
      <c r="AM13" s="13">
        <f t="shared" si="2"/>
        <v>0</v>
      </c>
      <c r="AN13" s="13">
        <f t="shared" si="2"/>
        <v>0</v>
      </c>
      <c r="AO13" s="13">
        <f t="shared" si="2"/>
        <v>0</v>
      </c>
      <c r="AP13" s="13">
        <f t="shared" si="2"/>
        <v>0</v>
      </c>
      <c r="AQ13" s="13">
        <f t="shared" si="2"/>
        <v>0</v>
      </c>
      <c r="AR13" s="13">
        <f t="shared" si="2"/>
        <v>0</v>
      </c>
      <c r="AS13" s="13">
        <f t="shared" si="2"/>
        <v>0</v>
      </c>
      <c r="AT13" s="13">
        <f t="shared" si="2"/>
        <v>0</v>
      </c>
      <c r="AU13" s="13">
        <f t="shared" si="2"/>
        <v>0</v>
      </c>
      <c r="AV13" s="13">
        <f t="shared" si="2"/>
        <v>0</v>
      </c>
      <c r="AW13" s="13">
        <f t="shared" si="2"/>
        <v>0</v>
      </c>
      <c r="AX13" s="13">
        <f t="shared" si="2"/>
        <v>0</v>
      </c>
      <c r="AY13" s="13">
        <f t="shared" si="2"/>
        <v>0</v>
      </c>
      <c r="AZ13" s="13">
        <f t="shared" si="2"/>
        <v>0</v>
      </c>
      <c r="BA13" s="13">
        <f t="shared" si="2"/>
        <v>0</v>
      </c>
      <c r="BB13" s="13">
        <f t="shared" si="2"/>
        <v>0</v>
      </c>
      <c r="BC13" s="13">
        <f t="shared" si="2"/>
        <v>0</v>
      </c>
      <c r="BD13" s="13">
        <f t="shared" si="2"/>
        <v>0</v>
      </c>
      <c r="BE13" s="13">
        <f t="shared" si="2"/>
        <v>0</v>
      </c>
      <c r="BF13" s="13">
        <f t="shared" si="2"/>
        <v>0</v>
      </c>
      <c r="BG13" s="13">
        <f t="shared" si="2"/>
        <v>0</v>
      </c>
      <c r="BH13" s="13">
        <f t="shared" si="2"/>
        <v>0</v>
      </c>
      <c r="BI13" s="13">
        <f t="shared" si="2"/>
        <v>0</v>
      </c>
      <c r="BJ13" s="13">
        <f t="shared" si="2"/>
        <v>0</v>
      </c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</row>
    <row r="14" ht="12.75" customHeight="1">
      <c r="A14" s="4" t="s">
        <v>11</v>
      </c>
      <c r="B14" s="10"/>
      <c r="C14" s="10">
        <v>300.0</v>
      </c>
      <c r="D14" s="10">
        <f>C14</f>
        <v>300</v>
      </c>
      <c r="E14" s="10">
        <v>300.0</v>
      </c>
      <c r="F14" s="10">
        <v>300.0</v>
      </c>
      <c r="G14" s="10">
        <f t="shared" ref="G14:BJ14" si="3">F14</f>
        <v>300</v>
      </c>
      <c r="H14" s="10">
        <f t="shared" si="3"/>
        <v>300</v>
      </c>
      <c r="I14" s="10">
        <f t="shared" si="3"/>
        <v>300</v>
      </c>
      <c r="J14" s="10">
        <f t="shared" si="3"/>
        <v>300</v>
      </c>
      <c r="K14" s="10">
        <f t="shared" si="3"/>
        <v>300</v>
      </c>
      <c r="L14" s="10">
        <f t="shared" si="3"/>
        <v>300</v>
      </c>
      <c r="M14" s="10">
        <f t="shared" si="3"/>
        <v>300</v>
      </c>
      <c r="N14" s="10">
        <f t="shared" si="3"/>
        <v>300</v>
      </c>
      <c r="O14" s="10">
        <f t="shared" si="3"/>
        <v>300</v>
      </c>
      <c r="P14" s="10">
        <f t="shared" si="3"/>
        <v>300</v>
      </c>
      <c r="Q14" s="10">
        <f t="shared" si="3"/>
        <v>300</v>
      </c>
      <c r="R14" s="10">
        <f t="shared" si="3"/>
        <v>300</v>
      </c>
      <c r="S14" s="10">
        <f t="shared" si="3"/>
        <v>300</v>
      </c>
      <c r="T14" s="10">
        <f t="shared" si="3"/>
        <v>300</v>
      </c>
      <c r="U14" s="10">
        <f t="shared" si="3"/>
        <v>300</v>
      </c>
      <c r="V14" s="10">
        <f t="shared" si="3"/>
        <v>300</v>
      </c>
      <c r="W14" s="10">
        <f t="shared" si="3"/>
        <v>300</v>
      </c>
      <c r="X14" s="10">
        <f t="shared" si="3"/>
        <v>300</v>
      </c>
      <c r="Y14" s="10">
        <f t="shared" si="3"/>
        <v>300</v>
      </c>
      <c r="Z14" s="10">
        <f t="shared" si="3"/>
        <v>300</v>
      </c>
      <c r="AA14" s="10">
        <f t="shared" si="3"/>
        <v>300</v>
      </c>
      <c r="AB14" s="10">
        <f t="shared" si="3"/>
        <v>300</v>
      </c>
      <c r="AC14" s="10">
        <f t="shared" si="3"/>
        <v>300</v>
      </c>
      <c r="AD14" s="10">
        <f t="shared" si="3"/>
        <v>300</v>
      </c>
      <c r="AE14" s="10">
        <f t="shared" si="3"/>
        <v>300</v>
      </c>
      <c r="AF14" s="10">
        <f t="shared" si="3"/>
        <v>300</v>
      </c>
      <c r="AG14" s="10">
        <f t="shared" si="3"/>
        <v>300</v>
      </c>
      <c r="AH14" s="10">
        <f t="shared" si="3"/>
        <v>300</v>
      </c>
      <c r="AI14" s="10">
        <f t="shared" si="3"/>
        <v>300</v>
      </c>
      <c r="AJ14" s="10">
        <f t="shared" si="3"/>
        <v>300</v>
      </c>
      <c r="AK14" s="10">
        <f t="shared" si="3"/>
        <v>300</v>
      </c>
      <c r="AL14" s="10">
        <f t="shared" si="3"/>
        <v>300</v>
      </c>
      <c r="AM14" s="10">
        <f t="shared" si="3"/>
        <v>300</v>
      </c>
      <c r="AN14" s="10">
        <f t="shared" si="3"/>
        <v>300</v>
      </c>
      <c r="AO14" s="10">
        <f t="shared" si="3"/>
        <v>300</v>
      </c>
      <c r="AP14" s="10">
        <f t="shared" si="3"/>
        <v>300</v>
      </c>
      <c r="AQ14" s="10">
        <f t="shared" si="3"/>
        <v>300</v>
      </c>
      <c r="AR14" s="10">
        <f t="shared" si="3"/>
        <v>300</v>
      </c>
      <c r="AS14" s="10">
        <f t="shared" si="3"/>
        <v>300</v>
      </c>
      <c r="AT14" s="10">
        <f t="shared" si="3"/>
        <v>300</v>
      </c>
      <c r="AU14" s="10">
        <f t="shared" si="3"/>
        <v>300</v>
      </c>
      <c r="AV14" s="10">
        <f t="shared" si="3"/>
        <v>300</v>
      </c>
      <c r="AW14" s="10">
        <f t="shared" si="3"/>
        <v>300</v>
      </c>
      <c r="AX14" s="10">
        <f t="shared" si="3"/>
        <v>300</v>
      </c>
      <c r="AY14" s="10">
        <f t="shared" si="3"/>
        <v>300</v>
      </c>
      <c r="AZ14" s="10">
        <f t="shared" si="3"/>
        <v>300</v>
      </c>
      <c r="BA14" s="10">
        <f t="shared" si="3"/>
        <v>300</v>
      </c>
      <c r="BB14" s="10">
        <f t="shared" si="3"/>
        <v>300</v>
      </c>
      <c r="BC14" s="10">
        <f t="shared" si="3"/>
        <v>300</v>
      </c>
      <c r="BD14" s="10">
        <f t="shared" si="3"/>
        <v>300</v>
      </c>
      <c r="BE14" s="10">
        <f t="shared" si="3"/>
        <v>300</v>
      </c>
      <c r="BF14" s="10">
        <f t="shared" si="3"/>
        <v>300</v>
      </c>
      <c r="BG14" s="10">
        <f t="shared" si="3"/>
        <v>300</v>
      </c>
      <c r="BH14" s="10">
        <f t="shared" si="3"/>
        <v>300</v>
      </c>
      <c r="BI14" s="10">
        <f t="shared" si="3"/>
        <v>300</v>
      </c>
      <c r="BJ14" s="10">
        <f t="shared" si="3"/>
        <v>300</v>
      </c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</row>
    <row r="15" ht="12.75" customHeight="1">
      <c r="A15" s="4"/>
      <c r="B15" s="4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</row>
    <row r="16" ht="12.75" customHeight="1">
      <c r="A16" s="12" t="s">
        <v>12</v>
      </c>
      <c r="B16" s="13">
        <f t="shared" ref="B16:BJ16" si="4">SUM(B14:B15)</f>
        <v>0</v>
      </c>
      <c r="C16" s="13">
        <f t="shared" si="4"/>
        <v>300</v>
      </c>
      <c r="D16" s="13">
        <f t="shared" si="4"/>
        <v>300</v>
      </c>
      <c r="E16" s="13">
        <f t="shared" si="4"/>
        <v>300</v>
      </c>
      <c r="F16" s="13">
        <f t="shared" si="4"/>
        <v>300</v>
      </c>
      <c r="G16" s="13">
        <f t="shared" si="4"/>
        <v>300</v>
      </c>
      <c r="H16" s="13">
        <f t="shared" si="4"/>
        <v>300</v>
      </c>
      <c r="I16" s="13">
        <f t="shared" si="4"/>
        <v>300</v>
      </c>
      <c r="J16" s="13">
        <f t="shared" si="4"/>
        <v>300</v>
      </c>
      <c r="K16" s="13">
        <f t="shared" si="4"/>
        <v>300</v>
      </c>
      <c r="L16" s="13">
        <f t="shared" si="4"/>
        <v>300</v>
      </c>
      <c r="M16" s="13">
        <f t="shared" si="4"/>
        <v>300</v>
      </c>
      <c r="N16" s="13">
        <f t="shared" si="4"/>
        <v>300</v>
      </c>
      <c r="O16" s="13">
        <f t="shared" si="4"/>
        <v>300</v>
      </c>
      <c r="P16" s="13">
        <f t="shared" si="4"/>
        <v>300</v>
      </c>
      <c r="Q16" s="13">
        <f t="shared" si="4"/>
        <v>300</v>
      </c>
      <c r="R16" s="13">
        <f t="shared" si="4"/>
        <v>300</v>
      </c>
      <c r="S16" s="13">
        <f t="shared" si="4"/>
        <v>300</v>
      </c>
      <c r="T16" s="13">
        <f t="shared" si="4"/>
        <v>300</v>
      </c>
      <c r="U16" s="13">
        <f t="shared" si="4"/>
        <v>300</v>
      </c>
      <c r="V16" s="13">
        <f t="shared" si="4"/>
        <v>300</v>
      </c>
      <c r="W16" s="13">
        <f t="shared" si="4"/>
        <v>300</v>
      </c>
      <c r="X16" s="13">
        <f t="shared" si="4"/>
        <v>300</v>
      </c>
      <c r="Y16" s="13">
        <f t="shared" si="4"/>
        <v>300</v>
      </c>
      <c r="Z16" s="13">
        <f t="shared" si="4"/>
        <v>300</v>
      </c>
      <c r="AA16" s="13">
        <f t="shared" si="4"/>
        <v>300</v>
      </c>
      <c r="AB16" s="13">
        <f t="shared" si="4"/>
        <v>300</v>
      </c>
      <c r="AC16" s="13">
        <f t="shared" si="4"/>
        <v>300</v>
      </c>
      <c r="AD16" s="13">
        <f t="shared" si="4"/>
        <v>300</v>
      </c>
      <c r="AE16" s="13">
        <f t="shared" si="4"/>
        <v>300</v>
      </c>
      <c r="AF16" s="13">
        <f t="shared" si="4"/>
        <v>300</v>
      </c>
      <c r="AG16" s="13">
        <f t="shared" si="4"/>
        <v>300</v>
      </c>
      <c r="AH16" s="13">
        <f t="shared" si="4"/>
        <v>300</v>
      </c>
      <c r="AI16" s="13">
        <f t="shared" si="4"/>
        <v>300</v>
      </c>
      <c r="AJ16" s="13">
        <f t="shared" si="4"/>
        <v>300</v>
      </c>
      <c r="AK16" s="13">
        <f t="shared" si="4"/>
        <v>300</v>
      </c>
      <c r="AL16" s="13">
        <f t="shared" si="4"/>
        <v>300</v>
      </c>
      <c r="AM16" s="13">
        <f t="shared" si="4"/>
        <v>300</v>
      </c>
      <c r="AN16" s="13">
        <f t="shared" si="4"/>
        <v>300</v>
      </c>
      <c r="AO16" s="13">
        <f t="shared" si="4"/>
        <v>300</v>
      </c>
      <c r="AP16" s="13">
        <f t="shared" si="4"/>
        <v>300</v>
      </c>
      <c r="AQ16" s="13">
        <f t="shared" si="4"/>
        <v>300</v>
      </c>
      <c r="AR16" s="13">
        <f t="shared" si="4"/>
        <v>300</v>
      </c>
      <c r="AS16" s="13">
        <f t="shared" si="4"/>
        <v>300</v>
      </c>
      <c r="AT16" s="13">
        <f t="shared" si="4"/>
        <v>300</v>
      </c>
      <c r="AU16" s="13">
        <f t="shared" si="4"/>
        <v>300</v>
      </c>
      <c r="AV16" s="13">
        <f t="shared" si="4"/>
        <v>300</v>
      </c>
      <c r="AW16" s="13">
        <f t="shared" si="4"/>
        <v>300</v>
      </c>
      <c r="AX16" s="13">
        <f t="shared" si="4"/>
        <v>300</v>
      </c>
      <c r="AY16" s="13">
        <f t="shared" si="4"/>
        <v>300</v>
      </c>
      <c r="AZ16" s="13">
        <f t="shared" si="4"/>
        <v>300</v>
      </c>
      <c r="BA16" s="13">
        <f t="shared" si="4"/>
        <v>300</v>
      </c>
      <c r="BB16" s="13">
        <f t="shared" si="4"/>
        <v>300</v>
      </c>
      <c r="BC16" s="13">
        <f t="shared" si="4"/>
        <v>300</v>
      </c>
      <c r="BD16" s="13">
        <f t="shared" si="4"/>
        <v>300</v>
      </c>
      <c r="BE16" s="13">
        <f t="shared" si="4"/>
        <v>300</v>
      </c>
      <c r="BF16" s="13">
        <f t="shared" si="4"/>
        <v>300</v>
      </c>
      <c r="BG16" s="13">
        <f t="shared" si="4"/>
        <v>300</v>
      </c>
      <c r="BH16" s="13">
        <f t="shared" si="4"/>
        <v>300</v>
      </c>
      <c r="BI16" s="13">
        <f t="shared" si="4"/>
        <v>300</v>
      </c>
      <c r="BJ16" s="13">
        <f t="shared" si="4"/>
        <v>300</v>
      </c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</row>
    <row r="17" ht="12.75" customHeight="1">
      <c r="A17" s="14" t="s">
        <v>13</v>
      </c>
      <c r="B17" s="15">
        <f t="shared" ref="B17:BJ17" si="5">B16-B13</f>
        <v>-12000</v>
      </c>
      <c r="C17" s="15">
        <f t="shared" si="5"/>
        <v>300</v>
      </c>
      <c r="D17" s="15">
        <f t="shared" si="5"/>
        <v>300</v>
      </c>
      <c r="E17" s="15">
        <f t="shared" si="5"/>
        <v>300</v>
      </c>
      <c r="F17" s="15">
        <f t="shared" si="5"/>
        <v>300</v>
      </c>
      <c r="G17" s="15">
        <f t="shared" si="5"/>
        <v>300</v>
      </c>
      <c r="H17" s="15">
        <f t="shared" si="5"/>
        <v>300</v>
      </c>
      <c r="I17" s="15">
        <f t="shared" si="5"/>
        <v>300</v>
      </c>
      <c r="J17" s="15">
        <f t="shared" si="5"/>
        <v>300</v>
      </c>
      <c r="K17" s="15">
        <f t="shared" si="5"/>
        <v>300</v>
      </c>
      <c r="L17" s="15">
        <f t="shared" si="5"/>
        <v>300</v>
      </c>
      <c r="M17" s="15">
        <f t="shared" si="5"/>
        <v>300</v>
      </c>
      <c r="N17" s="15">
        <f t="shared" si="5"/>
        <v>300</v>
      </c>
      <c r="O17" s="15">
        <f t="shared" si="5"/>
        <v>300</v>
      </c>
      <c r="P17" s="15">
        <f t="shared" si="5"/>
        <v>300</v>
      </c>
      <c r="Q17" s="15">
        <f t="shared" si="5"/>
        <v>300</v>
      </c>
      <c r="R17" s="15">
        <f t="shared" si="5"/>
        <v>300</v>
      </c>
      <c r="S17" s="15">
        <f t="shared" si="5"/>
        <v>300</v>
      </c>
      <c r="T17" s="15">
        <f t="shared" si="5"/>
        <v>300</v>
      </c>
      <c r="U17" s="15">
        <f t="shared" si="5"/>
        <v>300</v>
      </c>
      <c r="V17" s="15">
        <f t="shared" si="5"/>
        <v>300</v>
      </c>
      <c r="W17" s="15">
        <f t="shared" si="5"/>
        <v>300</v>
      </c>
      <c r="X17" s="15">
        <f t="shared" si="5"/>
        <v>300</v>
      </c>
      <c r="Y17" s="15">
        <f t="shared" si="5"/>
        <v>300</v>
      </c>
      <c r="Z17" s="15">
        <f t="shared" si="5"/>
        <v>300</v>
      </c>
      <c r="AA17" s="15">
        <f t="shared" si="5"/>
        <v>300</v>
      </c>
      <c r="AB17" s="15">
        <f t="shared" si="5"/>
        <v>300</v>
      </c>
      <c r="AC17" s="15">
        <f t="shared" si="5"/>
        <v>300</v>
      </c>
      <c r="AD17" s="15">
        <f t="shared" si="5"/>
        <v>300</v>
      </c>
      <c r="AE17" s="15">
        <f t="shared" si="5"/>
        <v>300</v>
      </c>
      <c r="AF17" s="15">
        <f t="shared" si="5"/>
        <v>300</v>
      </c>
      <c r="AG17" s="15">
        <f t="shared" si="5"/>
        <v>300</v>
      </c>
      <c r="AH17" s="15">
        <f t="shared" si="5"/>
        <v>300</v>
      </c>
      <c r="AI17" s="15">
        <f t="shared" si="5"/>
        <v>300</v>
      </c>
      <c r="AJ17" s="15">
        <f t="shared" si="5"/>
        <v>300</v>
      </c>
      <c r="AK17" s="15">
        <f t="shared" si="5"/>
        <v>300</v>
      </c>
      <c r="AL17" s="15">
        <f t="shared" si="5"/>
        <v>300</v>
      </c>
      <c r="AM17" s="15">
        <f t="shared" si="5"/>
        <v>300</v>
      </c>
      <c r="AN17" s="15">
        <f t="shared" si="5"/>
        <v>300</v>
      </c>
      <c r="AO17" s="15">
        <f t="shared" si="5"/>
        <v>300</v>
      </c>
      <c r="AP17" s="15">
        <f t="shared" si="5"/>
        <v>300</v>
      </c>
      <c r="AQ17" s="15">
        <f t="shared" si="5"/>
        <v>300</v>
      </c>
      <c r="AR17" s="15">
        <f t="shared" si="5"/>
        <v>300</v>
      </c>
      <c r="AS17" s="15">
        <f t="shared" si="5"/>
        <v>300</v>
      </c>
      <c r="AT17" s="15">
        <f t="shared" si="5"/>
        <v>300</v>
      </c>
      <c r="AU17" s="15">
        <f t="shared" si="5"/>
        <v>300</v>
      </c>
      <c r="AV17" s="15">
        <f t="shared" si="5"/>
        <v>300</v>
      </c>
      <c r="AW17" s="15">
        <f t="shared" si="5"/>
        <v>300</v>
      </c>
      <c r="AX17" s="15">
        <f t="shared" si="5"/>
        <v>300</v>
      </c>
      <c r="AY17" s="15">
        <f t="shared" si="5"/>
        <v>300</v>
      </c>
      <c r="AZ17" s="15">
        <f t="shared" si="5"/>
        <v>300</v>
      </c>
      <c r="BA17" s="15">
        <f t="shared" si="5"/>
        <v>300</v>
      </c>
      <c r="BB17" s="15">
        <f t="shared" si="5"/>
        <v>300</v>
      </c>
      <c r="BC17" s="15">
        <f t="shared" si="5"/>
        <v>300</v>
      </c>
      <c r="BD17" s="15">
        <f t="shared" si="5"/>
        <v>300</v>
      </c>
      <c r="BE17" s="15">
        <f t="shared" si="5"/>
        <v>300</v>
      </c>
      <c r="BF17" s="15">
        <f t="shared" si="5"/>
        <v>300</v>
      </c>
      <c r="BG17" s="15">
        <f t="shared" si="5"/>
        <v>300</v>
      </c>
      <c r="BH17" s="15">
        <f t="shared" si="5"/>
        <v>300</v>
      </c>
      <c r="BI17" s="15">
        <f t="shared" si="5"/>
        <v>300</v>
      </c>
      <c r="BJ17" s="15">
        <f t="shared" si="5"/>
        <v>300</v>
      </c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</row>
    <row r="18" ht="12.75" customHeight="1">
      <c r="A18" s="9" t="s">
        <v>14</v>
      </c>
      <c r="B18" s="16">
        <f>B17</f>
        <v>-12000</v>
      </c>
      <c r="C18" s="16">
        <f t="shared" ref="C18:BJ18" si="6">B18+C17</f>
        <v>-11700</v>
      </c>
      <c r="D18" s="16">
        <f t="shared" si="6"/>
        <v>-11400</v>
      </c>
      <c r="E18" s="16">
        <f t="shared" si="6"/>
        <v>-11100</v>
      </c>
      <c r="F18" s="16">
        <f t="shared" si="6"/>
        <v>-10800</v>
      </c>
      <c r="G18" s="16">
        <f t="shared" si="6"/>
        <v>-10500</v>
      </c>
      <c r="H18" s="16">
        <f t="shared" si="6"/>
        <v>-10200</v>
      </c>
      <c r="I18" s="16">
        <f t="shared" si="6"/>
        <v>-9900</v>
      </c>
      <c r="J18" s="16">
        <f t="shared" si="6"/>
        <v>-9600</v>
      </c>
      <c r="K18" s="16">
        <f t="shared" si="6"/>
        <v>-9300</v>
      </c>
      <c r="L18" s="16">
        <f t="shared" si="6"/>
        <v>-9000</v>
      </c>
      <c r="M18" s="16">
        <f t="shared" si="6"/>
        <v>-8700</v>
      </c>
      <c r="N18" s="16">
        <f t="shared" si="6"/>
        <v>-8400</v>
      </c>
      <c r="O18" s="16">
        <f t="shared" si="6"/>
        <v>-8100</v>
      </c>
      <c r="P18" s="16">
        <f t="shared" si="6"/>
        <v>-7800</v>
      </c>
      <c r="Q18" s="16">
        <f t="shared" si="6"/>
        <v>-7500</v>
      </c>
      <c r="R18" s="16">
        <f t="shared" si="6"/>
        <v>-7200</v>
      </c>
      <c r="S18" s="16">
        <f t="shared" si="6"/>
        <v>-6900</v>
      </c>
      <c r="T18" s="16">
        <f t="shared" si="6"/>
        <v>-6600</v>
      </c>
      <c r="U18" s="16">
        <f t="shared" si="6"/>
        <v>-6300</v>
      </c>
      <c r="V18" s="16">
        <f t="shared" si="6"/>
        <v>-6000</v>
      </c>
      <c r="W18" s="16">
        <f t="shared" si="6"/>
        <v>-5700</v>
      </c>
      <c r="X18" s="16">
        <f t="shared" si="6"/>
        <v>-5400</v>
      </c>
      <c r="Y18" s="16">
        <f t="shared" si="6"/>
        <v>-5100</v>
      </c>
      <c r="Z18" s="16">
        <f t="shared" si="6"/>
        <v>-4800</v>
      </c>
      <c r="AA18" s="16">
        <f t="shared" si="6"/>
        <v>-4500</v>
      </c>
      <c r="AB18" s="16">
        <f t="shared" si="6"/>
        <v>-4200</v>
      </c>
      <c r="AC18" s="16">
        <f t="shared" si="6"/>
        <v>-3900</v>
      </c>
      <c r="AD18" s="16">
        <f t="shared" si="6"/>
        <v>-3600</v>
      </c>
      <c r="AE18" s="16">
        <f t="shared" si="6"/>
        <v>-3300</v>
      </c>
      <c r="AF18" s="16">
        <f t="shared" si="6"/>
        <v>-3000</v>
      </c>
      <c r="AG18" s="16">
        <f t="shared" si="6"/>
        <v>-2700</v>
      </c>
      <c r="AH18" s="16">
        <f t="shared" si="6"/>
        <v>-2400</v>
      </c>
      <c r="AI18" s="16">
        <f t="shared" si="6"/>
        <v>-2100</v>
      </c>
      <c r="AJ18" s="16">
        <f t="shared" si="6"/>
        <v>-1800</v>
      </c>
      <c r="AK18" s="16">
        <f t="shared" si="6"/>
        <v>-1500</v>
      </c>
      <c r="AL18" s="16">
        <f t="shared" si="6"/>
        <v>-1200</v>
      </c>
      <c r="AM18" s="16">
        <f t="shared" si="6"/>
        <v>-900</v>
      </c>
      <c r="AN18" s="16">
        <f t="shared" si="6"/>
        <v>-600</v>
      </c>
      <c r="AO18" s="16">
        <f t="shared" si="6"/>
        <v>-300</v>
      </c>
      <c r="AP18" s="17">
        <f t="shared" si="6"/>
        <v>0</v>
      </c>
      <c r="AQ18" s="16">
        <f t="shared" si="6"/>
        <v>300</v>
      </c>
      <c r="AR18" s="16">
        <f t="shared" si="6"/>
        <v>600</v>
      </c>
      <c r="AS18" s="16">
        <f t="shared" si="6"/>
        <v>900</v>
      </c>
      <c r="AT18" s="16">
        <f t="shared" si="6"/>
        <v>1200</v>
      </c>
      <c r="AU18" s="16">
        <f t="shared" si="6"/>
        <v>1500</v>
      </c>
      <c r="AV18" s="16">
        <f t="shared" si="6"/>
        <v>1800</v>
      </c>
      <c r="AW18" s="16">
        <f t="shared" si="6"/>
        <v>2100</v>
      </c>
      <c r="AX18" s="16">
        <f t="shared" si="6"/>
        <v>2400</v>
      </c>
      <c r="AY18" s="16">
        <f t="shared" si="6"/>
        <v>2700</v>
      </c>
      <c r="AZ18" s="16">
        <f t="shared" si="6"/>
        <v>3000</v>
      </c>
      <c r="BA18" s="16">
        <f t="shared" si="6"/>
        <v>3300</v>
      </c>
      <c r="BB18" s="16">
        <f t="shared" si="6"/>
        <v>3600</v>
      </c>
      <c r="BC18" s="16">
        <f t="shared" si="6"/>
        <v>3900</v>
      </c>
      <c r="BD18" s="16">
        <f t="shared" si="6"/>
        <v>4200</v>
      </c>
      <c r="BE18" s="16">
        <f t="shared" si="6"/>
        <v>4500</v>
      </c>
      <c r="BF18" s="16">
        <f t="shared" si="6"/>
        <v>4800</v>
      </c>
      <c r="BG18" s="16">
        <f t="shared" si="6"/>
        <v>5100</v>
      </c>
      <c r="BH18" s="16">
        <f t="shared" si="6"/>
        <v>5400</v>
      </c>
      <c r="BI18" s="16">
        <f t="shared" si="6"/>
        <v>5700</v>
      </c>
      <c r="BJ18" s="16">
        <f t="shared" si="6"/>
        <v>6000</v>
      </c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</row>
    <row r="19" ht="12.75" customHeight="1">
      <c r="A19" s="18" t="s">
        <v>15</v>
      </c>
      <c r="B19" s="4"/>
      <c r="C19" s="10">
        <f t="shared" ref="C19:BJ19" si="7">C17/(1+$C$7)^C10</f>
        <v>297.029703</v>
      </c>
      <c r="D19" s="10">
        <f t="shared" si="7"/>
        <v>294.0888148</v>
      </c>
      <c r="E19" s="10">
        <f t="shared" si="7"/>
        <v>291.1770444</v>
      </c>
      <c r="F19" s="10">
        <f t="shared" si="7"/>
        <v>288.2941033</v>
      </c>
      <c r="G19" s="10">
        <f t="shared" si="7"/>
        <v>285.4397063</v>
      </c>
      <c r="H19" s="10">
        <f t="shared" si="7"/>
        <v>282.6135706</v>
      </c>
      <c r="I19" s="10">
        <f t="shared" si="7"/>
        <v>279.8154164</v>
      </c>
      <c r="J19" s="10">
        <f t="shared" si="7"/>
        <v>277.0449667</v>
      </c>
      <c r="K19" s="10">
        <f t="shared" si="7"/>
        <v>274.3019473</v>
      </c>
      <c r="L19" s="10">
        <f t="shared" si="7"/>
        <v>271.5860864</v>
      </c>
      <c r="M19" s="10">
        <f t="shared" si="7"/>
        <v>268.8971153</v>
      </c>
      <c r="N19" s="10">
        <f t="shared" si="7"/>
        <v>266.2347676</v>
      </c>
      <c r="O19" s="10">
        <f t="shared" si="7"/>
        <v>263.5987798</v>
      </c>
      <c r="P19" s="10">
        <f t="shared" si="7"/>
        <v>260.9888909</v>
      </c>
      <c r="Q19" s="10">
        <f t="shared" si="7"/>
        <v>258.4048424</v>
      </c>
      <c r="R19" s="10">
        <f t="shared" si="7"/>
        <v>255.8463787</v>
      </c>
      <c r="S19" s="10">
        <f t="shared" si="7"/>
        <v>253.3132462</v>
      </c>
      <c r="T19" s="10">
        <f t="shared" si="7"/>
        <v>250.8051943</v>
      </c>
      <c r="U19" s="10">
        <f t="shared" si="7"/>
        <v>248.3219745</v>
      </c>
      <c r="V19" s="10">
        <f t="shared" si="7"/>
        <v>245.8633411</v>
      </c>
      <c r="W19" s="10">
        <f t="shared" si="7"/>
        <v>243.4290506</v>
      </c>
      <c r="X19" s="10">
        <f t="shared" si="7"/>
        <v>241.018862</v>
      </c>
      <c r="Y19" s="10">
        <f t="shared" si="7"/>
        <v>238.6325366</v>
      </c>
      <c r="Z19" s="10">
        <f t="shared" si="7"/>
        <v>236.2698382</v>
      </c>
      <c r="AA19" s="10">
        <f t="shared" si="7"/>
        <v>233.9305329</v>
      </c>
      <c r="AB19" s="10">
        <f t="shared" si="7"/>
        <v>231.614389</v>
      </c>
      <c r="AC19" s="10">
        <f t="shared" si="7"/>
        <v>229.3211772</v>
      </c>
      <c r="AD19" s="10">
        <f t="shared" si="7"/>
        <v>227.0506705</v>
      </c>
      <c r="AE19" s="10">
        <f t="shared" si="7"/>
        <v>224.8026441</v>
      </c>
      <c r="AF19" s="10">
        <f t="shared" si="7"/>
        <v>222.5768753</v>
      </c>
      <c r="AG19" s="10">
        <f t="shared" si="7"/>
        <v>220.3731439</v>
      </c>
      <c r="AH19" s="10">
        <f t="shared" si="7"/>
        <v>218.1912316</v>
      </c>
      <c r="AI19" s="10">
        <f t="shared" si="7"/>
        <v>216.0309224</v>
      </c>
      <c r="AJ19" s="10">
        <f t="shared" si="7"/>
        <v>213.8920023</v>
      </c>
      <c r="AK19" s="10">
        <f t="shared" si="7"/>
        <v>211.7742597</v>
      </c>
      <c r="AL19" s="10">
        <f t="shared" si="7"/>
        <v>209.6774849</v>
      </c>
      <c r="AM19" s="10">
        <f t="shared" si="7"/>
        <v>207.6014702</v>
      </c>
      <c r="AN19" s="10">
        <f t="shared" si="7"/>
        <v>205.5460101</v>
      </c>
      <c r="AO19" s="10">
        <f t="shared" si="7"/>
        <v>203.5109011</v>
      </c>
      <c r="AP19" s="10">
        <f t="shared" si="7"/>
        <v>201.4959417</v>
      </c>
      <c r="AQ19" s="10">
        <f t="shared" si="7"/>
        <v>199.5009323</v>
      </c>
      <c r="AR19" s="10">
        <f t="shared" si="7"/>
        <v>197.5256756</v>
      </c>
      <c r="AS19" s="10">
        <f t="shared" si="7"/>
        <v>195.5699758</v>
      </c>
      <c r="AT19" s="10">
        <f t="shared" si="7"/>
        <v>193.6336394</v>
      </c>
      <c r="AU19" s="10">
        <f t="shared" si="7"/>
        <v>191.7164747</v>
      </c>
      <c r="AV19" s="10">
        <f t="shared" si="7"/>
        <v>189.8182918</v>
      </c>
      <c r="AW19" s="10">
        <f t="shared" si="7"/>
        <v>187.9389027</v>
      </c>
      <c r="AX19" s="10">
        <f t="shared" si="7"/>
        <v>186.0781215</v>
      </c>
      <c r="AY19" s="10">
        <f t="shared" si="7"/>
        <v>184.2357639</v>
      </c>
      <c r="AZ19" s="10">
        <f t="shared" si="7"/>
        <v>182.4116474</v>
      </c>
      <c r="BA19" s="10">
        <f t="shared" si="7"/>
        <v>180.6055915</v>
      </c>
      <c r="BB19" s="10">
        <f t="shared" si="7"/>
        <v>178.8174173</v>
      </c>
      <c r="BC19" s="10">
        <f t="shared" si="7"/>
        <v>177.0469478</v>
      </c>
      <c r="BD19" s="10">
        <f t="shared" si="7"/>
        <v>175.2940078</v>
      </c>
      <c r="BE19" s="10">
        <f t="shared" si="7"/>
        <v>173.5584235</v>
      </c>
      <c r="BF19" s="10">
        <f t="shared" si="7"/>
        <v>171.8400233</v>
      </c>
      <c r="BG19" s="10">
        <f t="shared" si="7"/>
        <v>170.1386369</v>
      </c>
      <c r="BH19" s="10">
        <f t="shared" si="7"/>
        <v>168.454096</v>
      </c>
      <c r="BI19" s="10">
        <f t="shared" si="7"/>
        <v>166.7862336</v>
      </c>
      <c r="BJ19" s="10">
        <f t="shared" si="7"/>
        <v>165.1348848</v>
      </c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</row>
    <row r="20" ht="12.75" customHeight="1">
      <c r="A20" s="18" t="s">
        <v>16</v>
      </c>
      <c r="B20" s="10">
        <f>B18</f>
        <v>-12000</v>
      </c>
      <c r="C20" s="10">
        <f t="shared" ref="C20:BJ20" si="8">B20+C19</f>
        <v>-11702.9703</v>
      </c>
      <c r="D20" s="10">
        <f t="shared" si="8"/>
        <v>-11408.88148</v>
      </c>
      <c r="E20" s="10">
        <f t="shared" si="8"/>
        <v>-11117.70444</v>
      </c>
      <c r="F20" s="10">
        <f t="shared" si="8"/>
        <v>-10829.41033</v>
      </c>
      <c r="G20" s="10">
        <f t="shared" si="8"/>
        <v>-10543.97063</v>
      </c>
      <c r="H20" s="10">
        <f t="shared" si="8"/>
        <v>-10261.35706</v>
      </c>
      <c r="I20" s="10">
        <f t="shared" si="8"/>
        <v>-9981.541641</v>
      </c>
      <c r="J20" s="10">
        <f t="shared" si="8"/>
        <v>-9704.496674</v>
      </c>
      <c r="K20" s="10">
        <f t="shared" si="8"/>
        <v>-9430.194727</v>
      </c>
      <c r="L20" s="10">
        <f t="shared" si="8"/>
        <v>-9158.608641</v>
      </c>
      <c r="M20" s="10">
        <f t="shared" si="8"/>
        <v>-8889.711526</v>
      </c>
      <c r="N20" s="10">
        <f t="shared" si="8"/>
        <v>-8623.476758</v>
      </c>
      <c r="O20" s="10">
        <f t="shared" si="8"/>
        <v>-8359.877978</v>
      </c>
      <c r="P20" s="10">
        <f t="shared" si="8"/>
        <v>-8098.889087</v>
      </c>
      <c r="Q20" s="10">
        <f t="shared" si="8"/>
        <v>-7840.484245</v>
      </c>
      <c r="R20" s="10">
        <f t="shared" si="8"/>
        <v>-7584.637866</v>
      </c>
      <c r="S20" s="10">
        <f t="shared" si="8"/>
        <v>-7331.32462</v>
      </c>
      <c r="T20" s="10">
        <f t="shared" si="8"/>
        <v>-7080.519426</v>
      </c>
      <c r="U20" s="10">
        <f t="shared" si="8"/>
        <v>-6832.197451</v>
      </c>
      <c r="V20" s="10">
        <f t="shared" si="8"/>
        <v>-6586.33411</v>
      </c>
      <c r="W20" s="10">
        <f t="shared" si="8"/>
        <v>-6342.90506</v>
      </c>
      <c r="X20" s="10">
        <f t="shared" si="8"/>
        <v>-6101.886198</v>
      </c>
      <c r="Y20" s="10">
        <f t="shared" si="8"/>
        <v>-5863.253661</v>
      </c>
      <c r="Z20" s="10">
        <f t="shared" si="8"/>
        <v>-5626.983823</v>
      </c>
      <c r="AA20" s="10">
        <f t="shared" si="8"/>
        <v>-5393.05329</v>
      </c>
      <c r="AB20" s="10">
        <f t="shared" si="8"/>
        <v>-5161.438901</v>
      </c>
      <c r="AC20" s="10">
        <f t="shared" si="8"/>
        <v>-4932.117724</v>
      </c>
      <c r="AD20" s="10">
        <f t="shared" si="8"/>
        <v>-4705.067053</v>
      </c>
      <c r="AE20" s="10">
        <f t="shared" si="8"/>
        <v>-4480.264409</v>
      </c>
      <c r="AF20" s="10">
        <f t="shared" si="8"/>
        <v>-4257.687534</v>
      </c>
      <c r="AG20" s="10">
        <f t="shared" si="8"/>
        <v>-4037.31439</v>
      </c>
      <c r="AH20" s="10">
        <f t="shared" si="8"/>
        <v>-3819.123158</v>
      </c>
      <c r="AI20" s="10">
        <f t="shared" si="8"/>
        <v>-3603.092236</v>
      </c>
      <c r="AJ20" s="10">
        <f t="shared" si="8"/>
        <v>-3389.200233</v>
      </c>
      <c r="AK20" s="10">
        <f t="shared" si="8"/>
        <v>-3177.425974</v>
      </c>
      <c r="AL20" s="10">
        <f t="shared" si="8"/>
        <v>-2967.748489</v>
      </c>
      <c r="AM20" s="10">
        <f t="shared" si="8"/>
        <v>-2760.147019</v>
      </c>
      <c r="AN20" s="10">
        <f t="shared" si="8"/>
        <v>-2554.601009</v>
      </c>
      <c r="AO20" s="10">
        <f t="shared" si="8"/>
        <v>-2351.090107</v>
      </c>
      <c r="AP20" s="10">
        <f t="shared" si="8"/>
        <v>-2149.594166</v>
      </c>
      <c r="AQ20" s="10">
        <f t="shared" si="8"/>
        <v>-1950.093233</v>
      </c>
      <c r="AR20" s="10">
        <f t="shared" si="8"/>
        <v>-1752.567558</v>
      </c>
      <c r="AS20" s="10">
        <f t="shared" si="8"/>
        <v>-1556.997582</v>
      </c>
      <c r="AT20" s="10">
        <f t="shared" si="8"/>
        <v>-1363.363943</v>
      </c>
      <c r="AU20" s="10">
        <f t="shared" si="8"/>
        <v>-1171.647468</v>
      </c>
      <c r="AV20" s="10">
        <f t="shared" si="8"/>
        <v>-981.8291762</v>
      </c>
      <c r="AW20" s="10">
        <f t="shared" si="8"/>
        <v>-793.8902735</v>
      </c>
      <c r="AX20" s="10">
        <f t="shared" si="8"/>
        <v>-607.812152</v>
      </c>
      <c r="AY20" s="10">
        <f t="shared" si="8"/>
        <v>-423.5763881</v>
      </c>
      <c r="AZ20" s="10">
        <f t="shared" si="8"/>
        <v>-241.1647407</v>
      </c>
      <c r="BA20" s="10">
        <f t="shared" si="8"/>
        <v>-60.55914918</v>
      </c>
      <c r="BB20" s="19">
        <f t="shared" si="8"/>
        <v>118.2582681</v>
      </c>
      <c r="BC20" s="10">
        <f t="shared" si="8"/>
        <v>295.305216</v>
      </c>
      <c r="BD20" s="10">
        <f t="shared" si="8"/>
        <v>470.5992237</v>
      </c>
      <c r="BE20" s="10">
        <f t="shared" si="8"/>
        <v>644.1576473</v>
      </c>
      <c r="BF20" s="10">
        <f t="shared" si="8"/>
        <v>815.9976706</v>
      </c>
      <c r="BG20" s="10">
        <f t="shared" si="8"/>
        <v>986.1363075</v>
      </c>
      <c r="BH20" s="10">
        <f t="shared" si="8"/>
        <v>1154.590403</v>
      </c>
      <c r="BI20" s="10">
        <f t="shared" si="8"/>
        <v>1321.376637</v>
      </c>
      <c r="BJ20" s="20">
        <f t="shared" si="8"/>
        <v>1486.511522</v>
      </c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</row>
    <row r="21" ht="12.75" customHeight="1">
      <c r="A21" s="21"/>
      <c r="B21" s="22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</row>
    <row r="22" ht="12.75" customHeight="1">
      <c r="A22" s="22" t="s">
        <v>17</v>
      </c>
      <c r="B22" s="22">
        <v>40.0</v>
      </c>
      <c r="C22" s="22" t="s">
        <v>18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</row>
    <row r="23" ht="12.75" customHeight="1">
      <c r="A23" s="22" t="s">
        <v>19</v>
      </c>
      <c r="B23" s="22">
        <v>52.0</v>
      </c>
      <c r="C23" s="22" t="s">
        <v>18</v>
      </c>
      <c r="D23" s="22" t="s">
        <v>20</v>
      </c>
      <c r="E23" s="1">
        <f>B23-1</f>
        <v>51</v>
      </c>
      <c r="F23" s="22" t="s">
        <v>21</v>
      </c>
      <c r="G23" s="22">
        <f>INT((30*(0-BA20)/(BB20-BA20)))+1</f>
        <v>11</v>
      </c>
      <c r="H23" s="22" t="s">
        <v>22</v>
      </c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</row>
    <row r="24" ht="12.75" customHeight="1">
      <c r="A24" s="24" t="s">
        <v>23</v>
      </c>
      <c r="B24" s="24"/>
      <c r="C24" s="25">
        <f>BJ20</f>
        <v>1486.511522</v>
      </c>
      <c r="D24" s="22" t="s">
        <v>24</v>
      </c>
      <c r="E24" s="1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</row>
    <row r="25" ht="12.75" customHeight="1">
      <c r="A25" s="4"/>
      <c r="B25" s="4"/>
      <c r="C25" s="10">
        <f t="array" ref="C25">NPV(C7,C17:BJ17)</f>
        <v>13486.51152</v>
      </c>
      <c r="D25" s="4" t="s">
        <v>25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</row>
    <row r="26" ht="12.75" customHeight="1">
      <c r="A26" s="1"/>
      <c r="B26" s="1"/>
      <c r="C26" s="25">
        <f>C25+B17</f>
        <v>1486.511522</v>
      </c>
      <c r="D26" s="4" t="s">
        <v>26</v>
      </c>
      <c r="E26" s="1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</row>
    <row r="27" ht="12.75" customHeight="1">
      <c r="A27" s="4"/>
      <c r="B27" s="4"/>
      <c r="C27" s="26">
        <f>C24/B13</f>
        <v>0.1238759602</v>
      </c>
      <c r="D27" s="4" t="s">
        <v>27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</row>
    <row r="28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</row>
    <row r="29" ht="12.75" customHeight="1">
      <c r="A29" s="4" t="s">
        <v>28</v>
      </c>
      <c r="B29" s="4"/>
      <c r="C29" s="27">
        <f>IRR(B17:BJ17,C7)</f>
        <v>0.014394781</v>
      </c>
      <c r="D29" s="4" t="s">
        <v>29</v>
      </c>
      <c r="E29" s="1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</row>
    <row r="30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</row>
    <row r="31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</row>
    <row r="32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</row>
    <row r="33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</row>
    <row r="34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</row>
    <row r="3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</row>
  </sheetData>
  <mergeCells count="1">
    <mergeCell ref="A9:H9"/>
  </mergeCells>
  <conditionalFormatting sqref="C21:AO21">
    <cfRule type="cellIs" dxfId="0" priority="1" stopIfTrue="1" operator="lessThan">
      <formula>0</formula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.13"/>
    <col customWidth="1" min="2" max="2" width="22.0"/>
    <col customWidth="1" min="3" max="3" width="11.88"/>
    <col customWidth="1" min="4" max="4" width="11.25"/>
    <col customWidth="1" min="5" max="5" width="11.75"/>
    <col customWidth="1" min="6" max="6" width="11.38"/>
    <col customWidth="1" min="7" max="11" width="11.63"/>
    <col customWidth="1" min="12" max="12" width="8.13"/>
    <col customWidth="1" min="13" max="13" width="9.88"/>
    <col customWidth="1" min="14" max="26" width="8.63"/>
  </cols>
  <sheetData>
    <row r="1" ht="12.75" customHeight="1"/>
    <row r="2" ht="12.75" customHeight="1">
      <c r="A2" s="28" t="s">
        <v>30</v>
      </c>
      <c r="B2" s="1" t="s">
        <v>31</v>
      </c>
    </row>
    <row r="3" ht="12.75" customHeight="1">
      <c r="B3" s="1" t="s">
        <v>32</v>
      </c>
    </row>
    <row r="4" ht="12.75" customHeight="1">
      <c r="B4" s="1"/>
      <c r="D4" s="1"/>
      <c r="G4" s="1"/>
      <c r="L4" s="1"/>
    </row>
    <row r="5" ht="12.75" customHeight="1">
      <c r="B5" s="29"/>
      <c r="C5" s="30" t="s">
        <v>33</v>
      </c>
      <c r="D5" s="30" t="s">
        <v>34</v>
      </c>
      <c r="G5" s="1"/>
      <c r="L5" s="1"/>
    </row>
    <row r="6" ht="12.75" customHeight="1">
      <c r="B6" s="1" t="s">
        <v>35</v>
      </c>
      <c r="C6" s="31">
        <v>400000.0</v>
      </c>
      <c r="D6" s="31">
        <v>600000.0</v>
      </c>
      <c r="G6" s="1"/>
      <c r="L6" s="1"/>
    </row>
    <row r="7" ht="12.75" customHeight="1">
      <c r="B7" s="1" t="s">
        <v>36</v>
      </c>
      <c r="C7" s="28">
        <v>4.0</v>
      </c>
      <c r="D7" s="1">
        <v>8.0</v>
      </c>
      <c r="G7" s="1"/>
      <c r="L7" s="1"/>
    </row>
    <row r="8" ht="12.75" customHeight="1">
      <c r="B8" s="1" t="s">
        <v>37</v>
      </c>
      <c r="C8" s="31">
        <v>40000.0</v>
      </c>
      <c r="D8" s="31">
        <v>80000.0</v>
      </c>
      <c r="G8" s="1"/>
      <c r="L8" s="1"/>
    </row>
    <row r="9" ht="12.75" customHeight="1">
      <c r="B9" s="1" t="s">
        <v>38</v>
      </c>
      <c r="C9" s="31">
        <v>10000.0</v>
      </c>
      <c r="D9" s="31">
        <v>20000.0</v>
      </c>
      <c r="G9" s="1"/>
      <c r="L9" s="1"/>
    </row>
    <row r="10" ht="12.75" customHeight="1">
      <c r="B10" s="1"/>
      <c r="D10" s="1"/>
      <c r="G10" s="1"/>
      <c r="L10" s="1"/>
    </row>
    <row r="11" ht="12.75" customHeight="1">
      <c r="B11" s="29" t="s">
        <v>39</v>
      </c>
      <c r="D11" s="1"/>
      <c r="G11" s="1"/>
      <c r="L11" s="1"/>
    </row>
    <row r="12" ht="12.75" customHeight="1">
      <c r="B12" s="1" t="s">
        <v>40</v>
      </c>
      <c r="D12" s="1"/>
      <c r="G12" s="1"/>
      <c r="L12" s="1"/>
    </row>
    <row r="13" ht="12.75" customHeight="1">
      <c r="B13" s="1" t="s">
        <v>41</v>
      </c>
      <c r="D13" s="1"/>
      <c r="G13" s="1"/>
      <c r="L13" s="1"/>
    </row>
    <row r="14" ht="12.75" customHeight="1"/>
    <row r="15" ht="12.75" customHeight="1">
      <c r="B15" s="5" t="s">
        <v>42</v>
      </c>
      <c r="C15" s="6"/>
      <c r="D15" s="6"/>
      <c r="E15" s="6"/>
      <c r="F15" s="6"/>
      <c r="G15" s="6"/>
      <c r="H15" s="6"/>
      <c r="I15" s="6"/>
      <c r="J15" s="6"/>
      <c r="K15" s="7"/>
    </row>
    <row r="16" ht="12.75" customHeight="1">
      <c r="B16" s="29" t="s">
        <v>8</v>
      </c>
      <c r="C16" s="32">
        <v>0.0</v>
      </c>
      <c r="D16" s="32">
        <f t="shared" ref="D16:K16" si="1">C16+1</f>
        <v>1</v>
      </c>
      <c r="E16" s="32">
        <f t="shared" si="1"/>
        <v>2</v>
      </c>
      <c r="F16" s="32">
        <f t="shared" si="1"/>
        <v>3</v>
      </c>
      <c r="G16" s="32">
        <f t="shared" si="1"/>
        <v>4</v>
      </c>
      <c r="H16" s="32">
        <f t="shared" si="1"/>
        <v>5</v>
      </c>
      <c r="I16" s="32">
        <f t="shared" si="1"/>
        <v>6</v>
      </c>
      <c r="J16" s="32">
        <f t="shared" si="1"/>
        <v>7</v>
      </c>
      <c r="K16" s="32">
        <f t="shared" si="1"/>
        <v>8</v>
      </c>
    </row>
    <row r="17" ht="12.75" customHeight="1">
      <c r="B17" s="22" t="s">
        <v>43</v>
      </c>
      <c r="C17" s="31">
        <v>400000.0</v>
      </c>
      <c r="D17" s="31"/>
      <c r="E17" s="31"/>
      <c r="F17" s="31"/>
      <c r="G17" s="31">
        <v>400000.0</v>
      </c>
      <c r="H17" s="31"/>
      <c r="I17" s="31"/>
      <c r="J17" s="31"/>
      <c r="K17" s="31"/>
    </row>
    <row r="18" ht="12.75" customHeight="1">
      <c r="B18" s="22" t="s">
        <v>44</v>
      </c>
      <c r="C18" s="31"/>
      <c r="D18" s="31">
        <v>10000.0</v>
      </c>
      <c r="E18" s="31">
        <f t="shared" ref="E18:K18" si="2">D18</f>
        <v>10000</v>
      </c>
      <c r="F18" s="31">
        <f t="shared" si="2"/>
        <v>10000</v>
      </c>
      <c r="G18" s="31">
        <f t="shared" si="2"/>
        <v>10000</v>
      </c>
      <c r="H18" s="31">
        <f t="shared" si="2"/>
        <v>10000</v>
      </c>
      <c r="I18" s="31">
        <f t="shared" si="2"/>
        <v>10000</v>
      </c>
      <c r="J18" s="31">
        <f t="shared" si="2"/>
        <v>10000</v>
      </c>
      <c r="K18" s="31">
        <f t="shared" si="2"/>
        <v>10000</v>
      </c>
    </row>
    <row r="19" ht="12.75" customHeight="1">
      <c r="B19" s="33" t="s">
        <v>10</v>
      </c>
      <c r="C19" s="34">
        <f t="shared" ref="C19:K19" si="3">SUM(C17:C18)</f>
        <v>400000</v>
      </c>
      <c r="D19" s="34">
        <f t="shared" si="3"/>
        <v>10000</v>
      </c>
      <c r="E19" s="34">
        <f t="shared" si="3"/>
        <v>10000</v>
      </c>
      <c r="F19" s="34">
        <f t="shared" si="3"/>
        <v>10000</v>
      </c>
      <c r="G19" s="34">
        <f t="shared" si="3"/>
        <v>410000</v>
      </c>
      <c r="H19" s="34">
        <f t="shared" si="3"/>
        <v>10000</v>
      </c>
      <c r="I19" s="34">
        <f t="shared" si="3"/>
        <v>10000</v>
      </c>
      <c r="J19" s="34">
        <f t="shared" si="3"/>
        <v>10000</v>
      </c>
      <c r="K19" s="34">
        <f t="shared" si="3"/>
        <v>10000</v>
      </c>
    </row>
    <row r="20" ht="12.75" customHeight="1">
      <c r="B20" s="22" t="s">
        <v>45</v>
      </c>
      <c r="C20" s="31"/>
      <c r="D20" s="31"/>
      <c r="E20" s="31"/>
      <c r="F20" s="31"/>
      <c r="G20" s="31">
        <v>40000.0</v>
      </c>
      <c r="H20" s="31"/>
      <c r="I20" s="31"/>
      <c r="J20" s="31"/>
      <c r="K20" s="31">
        <v>40000.0</v>
      </c>
    </row>
    <row r="21" ht="12.75" customHeight="1">
      <c r="B21" s="22"/>
      <c r="C21" s="35"/>
      <c r="D21" s="31"/>
      <c r="E21" s="31"/>
      <c r="F21" s="31"/>
      <c r="G21" s="31"/>
      <c r="H21" s="31"/>
      <c r="I21" s="31"/>
      <c r="J21" s="31"/>
      <c r="K21" s="31"/>
    </row>
    <row r="22" ht="12.75" customHeight="1">
      <c r="B22" s="33" t="s">
        <v>12</v>
      </c>
      <c r="C22" s="34">
        <f t="shared" ref="C22:K22" si="4">SUM(C20:C21)</f>
        <v>0</v>
      </c>
      <c r="D22" s="34">
        <f t="shared" si="4"/>
        <v>0</v>
      </c>
      <c r="E22" s="34">
        <f t="shared" si="4"/>
        <v>0</v>
      </c>
      <c r="F22" s="34">
        <f t="shared" si="4"/>
        <v>0</v>
      </c>
      <c r="G22" s="34">
        <f t="shared" si="4"/>
        <v>40000</v>
      </c>
      <c r="H22" s="34">
        <f t="shared" si="4"/>
        <v>0</v>
      </c>
      <c r="I22" s="34">
        <f t="shared" si="4"/>
        <v>0</v>
      </c>
      <c r="J22" s="34">
        <f t="shared" si="4"/>
        <v>0</v>
      </c>
      <c r="K22" s="34">
        <f t="shared" si="4"/>
        <v>40000</v>
      </c>
    </row>
    <row r="23" ht="12.75" customHeight="1">
      <c r="B23" s="36" t="s">
        <v>46</v>
      </c>
      <c r="C23" s="37">
        <f t="shared" ref="C23:K23" si="5">C22-C19</f>
        <v>-400000</v>
      </c>
      <c r="D23" s="37">
        <f t="shared" si="5"/>
        <v>-10000</v>
      </c>
      <c r="E23" s="37">
        <f t="shared" si="5"/>
        <v>-10000</v>
      </c>
      <c r="F23" s="37">
        <f t="shared" si="5"/>
        <v>-10000</v>
      </c>
      <c r="G23" s="37">
        <f t="shared" si="5"/>
        <v>-370000</v>
      </c>
      <c r="H23" s="37">
        <f t="shared" si="5"/>
        <v>-10000</v>
      </c>
      <c r="I23" s="37">
        <f t="shared" si="5"/>
        <v>-10000</v>
      </c>
      <c r="J23" s="37">
        <f t="shared" si="5"/>
        <v>-10000</v>
      </c>
      <c r="K23" s="37">
        <f t="shared" si="5"/>
        <v>30000</v>
      </c>
    </row>
    <row r="24" ht="12.75" customHeight="1">
      <c r="B24" s="32" t="s">
        <v>47</v>
      </c>
      <c r="C24" s="38">
        <f>C23</f>
        <v>-400000</v>
      </c>
      <c r="D24" s="38">
        <f t="shared" ref="D24:K24" si="6">C24+D23</f>
        <v>-410000</v>
      </c>
      <c r="E24" s="38">
        <f t="shared" si="6"/>
        <v>-420000</v>
      </c>
      <c r="F24" s="38">
        <f t="shared" si="6"/>
        <v>-430000</v>
      </c>
      <c r="G24" s="38">
        <f t="shared" si="6"/>
        <v>-800000</v>
      </c>
      <c r="H24" s="38">
        <f t="shared" si="6"/>
        <v>-810000</v>
      </c>
      <c r="I24" s="38">
        <f t="shared" si="6"/>
        <v>-820000</v>
      </c>
      <c r="J24" s="38">
        <f t="shared" si="6"/>
        <v>-830000</v>
      </c>
      <c r="K24" s="38">
        <f t="shared" si="6"/>
        <v>-800000</v>
      </c>
    </row>
    <row r="25" ht="12.75" customHeight="1">
      <c r="B25" s="36" t="s">
        <v>15</v>
      </c>
      <c r="C25" s="39">
        <f>C23</f>
        <v>-400000</v>
      </c>
      <c r="D25" s="39">
        <f t="shared" ref="D25:K25" si="7">D23/(1+$E$28)^D16</f>
        <v>-9090.909091</v>
      </c>
      <c r="E25" s="39">
        <f t="shared" si="7"/>
        <v>-8264.46281</v>
      </c>
      <c r="F25" s="39">
        <f t="shared" si="7"/>
        <v>-7513.148009</v>
      </c>
      <c r="G25" s="39">
        <f t="shared" si="7"/>
        <v>-252714.9785</v>
      </c>
      <c r="H25" s="39">
        <f t="shared" si="7"/>
        <v>-6209.213231</v>
      </c>
      <c r="I25" s="39">
        <f t="shared" si="7"/>
        <v>-5644.739301</v>
      </c>
      <c r="J25" s="39">
        <f t="shared" si="7"/>
        <v>-5131.581182</v>
      </c>
      <c r="K25" s="39">
        <f t="shared" si="7"/>
        <v>13995.22141</v>
      </c>
      <c r="M25" s="11" t="s">
        <v>48</v>
      </c>
    </row>
    <row r="26" ht="12.75" customHeight="1">
      <c r="B26" s="32" t="s">
        <v>49</v>
      </c>
      <c r="C26" s="40">
        <f>C23</f>
        <v>-400000</v>
      </c>
      <c r="D26" s="40">
        <f t="shared" ref="D26:K26" si="8">C26+D25</f>
        <v>-409090.9091</v>
      </c>
      <c r="E26" s="40">
        <f t="shared" si="8"/>
        <v>-417355.3719</v>
      </c>
      <c r="F26" s="40">
        <f t="shared" si="8"/>
        <v>-424868.5199</v>
      </c>
      <c r="G26" s="40">
        <f t="shared" si="8"/>
        <v>-677583.4984</v>
      </c>
      <c r="H26" s="40">
        <f t="shared" si="8"/>
        <v>-683792.7116</v>
      </c>
      <c r="I26" s="40">
        <f t="shared" si="8"/>
        <v>-689437.4509</v>
      </c>
      <c r="J26" s="40">
        <f t="shared" si="8"/>
        <v>-694569.0321</v>
      </c>
      <c r="K26" s="40">
        <f t="shared" si="8"/>
        <v>-680573.8107</v>
      </c>
    </row>
    <row r="27" ht="12.75" customHeight="1">
      <c r="B27" s="21"/>
      <c r="C27" s="22"/>
      <c r="D27" s="23"/>
      <c r="E27" s="23"/>
      <c r="F27" s="23"/>
      <c r="G27" s="23"/>
      <c r="H27" s="23"/>
      <c r="I27" s="23"/>
      <c r="J27" s="23"/>
      <c r="K27" s="23"/>
    </row>
    <row r="28" ht="12.75" customHeight="1">
      <c r="B28" s="41" t="s">
        <v>50</v>
      </c>
      <c r="C28" s="42">
        <f>SUM(C25:K25)</f>
        <v>-680573.8107</v>
      </c>
      <c r="D28" s="22" t="s">
        <v>51</v>
      </c>
      <c r="E28" s="26">
        <v>0.1</v>
      </c>
      <c r="F28" s="26" t="s">
        <v>52</v>
      </c>
      <c r="H28" s="11"/>
      <c r="I28" s="11"/>
      <c r="J28" s="11"/>
    </row>
    <row r="29" ht="12.75" customHeight="1">
      <c r="B29" s="22"/>
      <c r="C29" s="43">
        <f t="array" ref="C29">NPV(E28,D23:K23)+C23</f>
        <v>-680573.8107</v>
      </c>
      <c r="D29" s="44" t="s">
        <v>53</v>
      </c>
      <c r="E29" s="22"/>
      <c r="F29" s="26"/>
      <c r="G29" s="26"/>
      <c r="H29" s="26"/>
      <c r="I29" s="26"/>
      <c r="J29" s="26"/>
    </row>
    <row r="30" ht="12.75" customHeight="1"/>
    <row r="31" ht="12.75" customHeight="1">
      <c r="B31" s="5" t="s">
        <v>54</v>
      </c>
      <c r="C31" s="6"/>
      <c r="D31" s="6"/>
      <c r="E31" s="6"/>
      <c r="F31" s="6"/>
      <c r="G31" s="6"/>
      <c r="H31" s="6"/>
      <c r="I31" s="6"/>
      <c r="J31" s="6"/>
      <c r="K31" s="7"/>
    </row>
    <row r="32" ht="12.75" customHeight="1">
      <c r="B32" s="29" t="s">
        <v>8</v>
      </c>
      <c r="C32" s="32">
        <v>0.0</v>
      </c>
      <c r="D32" s="32">
        <f t="shared" ref="D32:K32" si="9">C32+1</f>
        <v>1</v>
      </c>
      <c r="E32" s="32">
        <f t="shared" si="9"/>
        <v>2</v>
      </c>
      <c r="F32" s="32">
        <f t="shared" si="9"/>
        <v>3</v>
      </c>
      <c r="G32" s="32">
        <f t="shared" si="9"/>
        <v>4</v>
      </c>
      <c r="H32" s="32">
        <f t="shared" si="9"/>
        <v>5</v>
      </c>
      <c r="I32" s="32">
        <f t="shared" si="9"/>
        <v>6</v>
      </c>
      <c r="J32" s="32">
        <f t="shared" si="9"/>
        <v>7</v>
      </c>
      <c r="K32" s="32">
        <f t="shared" si="9"/>
        <v>8</v>
      </c>
    </row>
    <row r="33" ht="12.75" customHeight="1">
      <c r="B33" s="22" t="s">
        <v>43</v>
      </c>
      <c r="C33" s="45">
        <v>600000.0</v>
      </c>
      <c r="D33" s="45"/>
      <c r="E33" s="45"/>
      <c r="F33" s="45"/>
      <c r="G33" s="45"/>
      <c r="H33" s="45"/>
      <c r="I33" s="45"/>
      <c r="J33" s="45"/>
      <c r="K33" s="45"/>
    </row>
    <row r="34" ht="12.75" customHeight="1">
      <c r="B34" s="22" t="s">
        <v>44</v>
      </c>
      <c r="C34" s="45"/>
      <c r="D34" s="45">
        <v>20000.0</v>
      </c>
      <c r="E34" s="45">
        <f t="shared" ref="E34:K34" si="10">D34</f>
        <v>20000</v>
      </c>
      <c r="F34" s="45">
        <f t="shared" si="10"/>
        <v>20000</v>
      </c>
      <c r="G34" s="45">
        <f t="shared" si="10"/>
        <v>20000</v>
      </c>
      <c r="H34" s="45">
        <f t="shared" si="10"/>
        <v>20000</v>
      </c>
      <c r="I34" s="45">
        <f t="shared" si="10"/>
        <v>20000</v>
      </c>
      <c r="J34" s="45">
        <f t="shared" si="10"/>
        <v>20000</v>
      </c>
      <c r="K34" s="45">
        <f t="shared" si="10"/>
        <v>20000</v>
      </c>
    </row>
    <row r="35" ht="12.75" customHeight="1">
      <c r="B35" s="33" t="s">
        <v>10</v>
      </c>
      <c r="C35" s="46">
        <f t="shared" ref="C35:K35" si="11">SUM(C33:C34)</f>
        <v>600000</v>
      </c>
      <c r="D35" s="46">
        <f t="shared" si="11"/>
        <v>20000</v>
      </c>
      <c r="E35" s="46">
        <f t="shared" si="11"/>
        <v>20000</v>
      </c>
      <c r="F35" s="46">
        <f t="shared" si="11"/>
        <v>20000</v>
      </c>
      <c r="G35" s="46">
        <f t="shared" si="11"/>
        <v>20000</v>
      </c>
      <c r="H35" s="46">
        <f t="shared" si="11"/>
        <v>20000</v>
      </c>
      <c r="I35" s="46">
        <f t="shared" si="11"/>
        <v>20000</v>
      </c>
      <c r="J35" s="46">
        <f t="shared" si="11"/>
        <v>20000</v>
      </c>
      <c r="K35" s="46">
        <f t="shared" si="11"/>
        <v>20000</v>
      </c>
    </row>
    <row r="36" ht="12.75" customHeight="1">
      <c r="B36" s="22" t="s">
        <v>45</v>
      </c>
      <c r="C36" s="45"/>
      <c r="D36" s="45"/>
      <c r="E36" s="45"/>
      <c r="F36" s="45"/>
      <c r="G36" s="45"/>
      <c r="H36" s="45"/>
      <c r="I36" s="45"/>
      <c r="J36" s="45"/>
      <c r="K36" s="45">
        <v>80000.0</v>
      </c>
    </row>
    <row r="37" ht="12.75" customHeight="1">
      <c r="B37" s="22"/>
      <c r="D37" s="45"/>
      <c r="E37" s="45"/>
      <c r="F37" s="45"/>
      <c r="G37" s="45"/>
      <c r="H37" s="45"/>
      <c r="I37" s="45"/>
      <c r="J37" s="45"/>
      <c r="K37" s="45"/>
    </row>
    <row r="38" ht="12.75" customHeight="1">
      <c r="B38" s="33" t="s">
        <v>12</v>
      </c>
      <c r="C38" s="46">
        <f t="shared" ref="C38:K38" si="12">SUM(C36:C37)</f>
        <v>0</v>
      </c>
      <c r="D38" s="46">
        <f t="shared" si="12"/>
        <v>0</v>
      </c>
      <c r="E38" s="46">
        <f t="shared" si="12"/>
        <v>0</v>
      </c>
      <c r="F38" s="46">
        <f t="shared" si="12"/>
        <v>0</v>
      </c>
      <c r="G38" s="46">
        <f t="shared" si="12"/>
        <v>0</v>
      </c>
      <c r="H38" s="46">
        <f t="shared" si="12"/>
        <v>0</v>
      </c>
      <c r="I38" s="46">
        <f t="shared" si="12"/>
        <v>0</v>
      </c>
      <c r="J38" s="46">
        <f t="shared" si="12"/>
        <v>0</v>
      </c>
      <c r="K38" s="46">
        <f t="shared" si="12"/>
        <v>80000</v>
      </c>
    </row>
    <row r="39" ht="12.75" customHeight="1">
      <c r="B39" s="36" t="s">
        <v>46</v>
      </c>
      <c r="C39" s="39">
        <f t="shared" ref="C39:K39" si="13">C38-C35</f>
        <v>-600000</v>
      </c>
      <c r="D39" s="39">
        <f t="shared" si="13"/>
        <v>-20000</v>
      </c>
      <c r="E39" s="39">
        <f t="shared" si="13"/>
        <v>-20000</v>
      </c>
      <c r="F39" s="39">
        <f t="shared" si="13"/>
        <v>-20000</v>
      </c>
      <c r="G39" s="39">
        <f t="shared" si="13"/>
        <v>-20000</v>
      </c>
      <c r="H39" s="39">
        <f t="shared" si="13"/>
        <v>-20000</v>
      </c>
      <c r="I39" s="39">
        <f t="shared" si="13"/>
        <v>-20000</v>
      </c>
      <c r="J39" s="39">
        <f t="shared" si="13"/>
        <v>-20000</v>
      </c>
      <c r="K39" s="39">
        <f t="shared" si="13"/>
        <v>60000</v>
      </c>
    </row>
    <row r="40" ht="12.75" customHeight="1">
      <c r="B40" s="32" t="s">
        <v>47</v>
      </c>
      <c r="C40" s="40">
        <f>C39</f>
        <v>-600000</v>
      </c>
      <c r="D40" s="40">
        <f t="shared" ref="D40:K40" si="14">C40+D39</f>
        <v>-620000</v>
      </c>
      <c r="E40" s="40">
        <f t="shared" si="14"/>
        <v>-640000</v>
      </c>
      <c r="F40" s="40">
        <f t="shared" si="14"/>
        <v>-660000</v>
      </c>
      <c r="G40" s="40">
        <f t="shared" si="14"/>
        <v>-680000</v>
      </c>
      <c r="H40" s="40">
        <f t="shared" si="14"/>
        <v>-700000</v>
      </c>
      <c r="I40" s="40">
        <f t="shared" si="14"/>
        <v>-720000</v>
      </c>
      <c r="J40" s="40">
        <f t="shared" si="14"/>
        <v>-740000</v>
      </c>
      <c r="K40" s="40">
        <f t="shared" si="14"/>
        <v>-680000</v>
      </c>
    </row>
    <row r="41" ht="12.75" customHeight="1">
      <c r="B41" s="36" t="s">
        <v>15</v>
      </c>
      <c r="C41" s="39">
        <f>C39</f>
        <v>-600000</v>
      </c>
      <c r="D41" s="39">
        <f t="shared" ref="D41:K41" si="15">D39/(1+$E$44)^D32</f>
        <v>-18181.81818</v>
      </c>
      <c r="E41" s="39">
        <f t="shared" si="15"/>
        <v>-16528.92562</v>
      </c>
      <c r="F41" s="39">
        <f t="shared" si="15"/>
        <v>-15026.29602</v>
      </c>
      <c r="G41" s="39">
        <f t="shared" si="15"/>
        <v>-13660.26911</v>
      </c>
      <c r="H41" s="39">
        <f t="shared" si="15"/>
        <v>-12418.42646</v>
      </c>
      <c r="I41" s="39">
        <f t="shared" si="15"/>
        <v>-11289.4786</v>
      </c>
      <c r="J41" s="39">
        <f t="shared" si="15"/>
        <v>-10263.16236</v>
      </c>
      <c r="K41" s="39">
        <f t="shared" si="15"/>
        <v>27990.44281</v>
      </c>
    </row>
    <row r="42" ht="12.75" customHeight="1">
      <c r="B42" s="32" t="s">
        <v>49</v>
      </c>
      <c r="C42" s="40">
        <f>C39</f>
        <v>-600000</v>
      </c>
      <c r="D42" s="40">
        <f t="shared" ref="D42:K42" si="16">C42+D41</f>
        <v>-618181.8182</v>
      </c>
      <c r="E42" s="40">
        <f t="shared" si="16"/>
        <v>-634710.7438</v>
      </c>
      <c r="F42" s="40">
        <f t="shared" si="16"/>
        <v>-649737.0398</v>
      </c>
      <c r="G42" s="40">
        <f t="shared" si="16"/>
        <v>-663397.3089</v>
      </c>
      <c r="H42" s="40">
        <f t="shared" si="16"/>
        <v>-675815.7354</v>
      </c>
      <c r="I42" s="40">
        <f t="shared" si="16"/>
        <v>-687105.214</v>
      </c>
      <c r="J42" s="40">
        <f t="shared" si="16"/>
        <v>-697368.3764</v>
      </c>
      <c r="K42" s="40">
        <f t="shared" si="16"/>
        <v>-669377.9335</v>
      </c>
    </row>
    <row r="43" ht="12.75" customHeight="1">
      <c r="B43" s="21"/>
      <c r="C43" s="22"/>
      <c r="D43" s="23"/>
      <c r="E43" s="23"/>
      <c r="F43" s="23"/>
      <c r="G43" s="23"/>
      <c r="H43" s="23"/>
      <c r="I43" s="23"/>
      <c r="J43" s="23"/>
      <c r="K43" s="23"/>
    </row>
    <row r="44" ht="12.75" customHeight="1">
      <c r="B44" s="41" t="s">
        <v>50</v>
      </c>
      <c r="C44" s="42">
        <f>SUM(C41:K41)</f>
        <v>-669377.9335</v>
      </c>
      <c r="D44" s="22" t="s">
        <v>51</v>
      </c>
      <c r="E44" s="26">
        <v>0.1</v>
      </c>
      <c r="F44" s="26" t="s">
        <v>52</v>
      </c>
      <c r="H44" s="11"/>
      <c r="I44" s="11"/>
      <c r="J44" s="11"/>
    </row>
    <row r="45" ht="12.75" customHeight="1">
      <c r="B45" s="22"/>
      <c r="C45" s="43">
        <f t="array" ref="C45">NPV(E44,D39:K39)+C39</f>
        <v>-669377.9335</v>
      </c>
      <c r="D45" s="44" t="s">
        <v>53</v>
      </c>
      <c r="E45" s="22"/>
      <c r="F45" s="26"/>
      <c r="G45" s="26"/>
      <c r="H45" s="26"/>
      <c r="I45" s="26"/>
      <c r="J45" s="26"/>
    </row>
    <row r="46" ht="12.75" customHeight="1"/>
    <row r="47" ht="12.75" customHeight="1">
      <c r="B47" s="29" t="s">
        <v>55</v>
      </c>
    </row>
    <row r="48" ht="12.75" customHeight="1">
      <c r="B48" s="28" t="s">
        <v>56</v>
      </c>
    </row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B15:K15"/>
    <mergeCell ref="B31:K31"/>
  </mergeCells>
  <conditionalFormatting sqref="D27:K27">
    <cfRule type="cellIs" dxfId="0" priority="1" stopIfTrue="1" operator="lessThan">
      <formula>0</formula>
    </cfRule>
  </conditionalFormatting>
  <conditionalFormatting sqref="D43:K43">
    <cfRule type="cellIs" dxfId="0" priority="2" stopIfTrue="1" operator="lessThan">
      <formula>0</formula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1.63"/>
    <col customWidth="1" min="2" max="2" width="11.88"/>
    <col customWidth="1" min="3" max="4" width="11.75"/>
    <col customWidth="1" min="5" max="5" width="11.38"/>
    <col customWidth="1" min="6" max="8" width="11.63"/>
    <col customWidth="1" min="9" max="9" width="12.13"/>
    <col customWidth="1" min="10" max="10" width="11.63"/>
    <col customWidth="1" min="11" max="11" width="6.25"/>
    <col customWidth="1" min="12" max="26" width="8.63"/>
  </cols>
  <sheetData>
    <row r="1" ht="12.75" customHeight="1"/>
    <row r="2" ht="12.75" customHeight="1">
      <c r="A2" s="28" t="s">
        <v>57</v>
      </c>
    </row>
    <row r="3" ht="12.75" customHeight="1">
      <c r="A3" s="1" t="s">
        <v>58</v>
      </c>
    </row>
    <row r="4" ht="12.75" customHeight="1">
      <c r="A4" s="1" t="s">
        <v>59</v>
      </c>
    </row>
    <row r="5" ht="12.75" customHeight="1">
      <c r="A5" s="1"/>
      <c r="C5" s="1"/>
      <c r="F5" s="1"/>
      <c r="K5" s="1"/>
    </row>
    <row r="6" ht="12.75" customHeight="1">
      <c r="A6" s="29" t="s">
        <v>39</v>
      </c>
      <c r="C6" s="1"/>
      <c r="F6" s="1"/>
      <c r="K6" s="1"/>
    </row>
    <row r="7" ht="12.75" customHeight="1">
      <c r="A7" s="1" t="s">
        <v>60</v>
      </c>
      <c r="C7" s="1"/>
      <c r="F7" s="1"/>
      <c r="K7" s="1"/>
    </row>
    <row r="8" ht="12.75" customHeight="1">
      <c r="A8" s="1" t="s">
        <v>61</v>
      </c>
      <c r="C8" s="1"/>
      <c r="F8" s="1"/>
      <c r="K8" s="1"/>
    </row>
    <row r="9" ht="12.75" customHeight="1">
      <c r="A9" s="1" t="s">
        <v>62</v>
      </c>
      <c r="C9" s="1"/>
      <c r="F9" s="1"/>
      <c r="K9" s="1"/>
    </row>
    <row r="10" ht="12.75" customHeight="1"/>
    <row r="11" ht="12.75" customHeight="1">
      <c r="A11" s="28" t="s">
        <v>63</v>
      </c>
      <c r="B11" s="45">
        <v>200000.0</v>
      </c>
    </row>
    <row r="12" ht="12.75" customHeight="1">
      <c r="A12" s="28" t="s">
        <v>64</v>
      </c>
      <c r="B12" s="22">
        <v>8.0</v>
      </c>
    </row>
    <row r="13" ht="12.75" customHeight="1">
      <c r="A13" s="28" t="s">
        <v>65</v>
      </c>
      <c r="B13" s="47">
        <v>0.12</v>
      </c>
      <c r="C13" s="1" t="s">
        <v>52</v>
      </c>
    </row>
    <row r="14" ht="12.75" customHeight="1">
      <c r="A14" s="1" t="s">
        <v>66</v>
      </c>
      <c r="B14" s="45">
        <f>PMT(B13,B12,-B11)</f>
        <v>40260.56828</v>
      </c>
    </row>
    <row r="15" ht="12.75" customHeight="1"/>
    <row r="16" ht="12.75" customHeight="1">
      <c r="A16" s="28" t="s">
        <v>67</v>
      </c>
    </row>
    <row r="17" ht="12.75" customHeight="1"/>
    <row r="18" ht="12.75" customHeight="1">
      <c r="A18" s="5" t="s">
        <v>54</v>
      </c>
      <c r="B18" s="6"/>
      <c r="C18" s="6"/>
      <c r="D18" s="6"/>
      <c r="E18" s="6"/>
      <c r="F18" s="6"/>
      <c r="G18" s="6"/>
      <c r="H18" s="6"/>
      <c r="I18" s="6"/>
      <c r="J18" s="7"/>
    </row>
    <row r="19" ht="12.75" customHeight="1">
      <c r="A19" s="29" t="s">
        <v>8</v>
      </c>
      <c r="B19" s="32">
        <v>0.0</v>
      </c>
      <c r="C19" s="32">
        <f t="shared" ref="C19:J19" si="1">B19+1</f>
        <v>1</v>
      </c>
      <c r="D19" s="32">
        <f t="shared" si="1"/>
        <v>2</v>
      </c>
      <c r="E19" s="32">
        <f t="shared" si="1"/>
        <v>3</v>
      </c>
      <c r="F19" s="32">
        <f t="shared" si="1"/>
        <v>4</v>
      </c>
      <c r="G19" s="32">
        <f t="shared" si="1"/>
        <v>5</v>
      </c>
      <c r="H19" s="32">
        <f t="shared" si="1"/>
        <v>6</v>
      </c>
      <c r="I19" s="32">
        <f t="shared" si="1"/>
        <v>7</v>
      </c>
      <c r="J19" s="32">
        <f t="shared" si="1"/>
        <v>8</v>
      </c>
    </row>
    <row r="20" ht="12.75" customHeight="1">
      <c r="A20" s="22" t="s">
        <v>43</v>
      </c>
      <c r="B20" s="45">
        <v>600000.0</v>
      </c>
      <c r="C20" s="45"/>
      <c r="D20" s="45"/>
      <c r="E20" s="45"/>
      <c r="F20" s="45"/>
      <c r="G20" s="45"/>
      <c r="H20" s="45"/>
      <c r="I20" s="45"/>
      <c r="J20" s="45"/>
    </row>
    <row r="21" ht="12.75" customHeight="1">
      <c r="A21" s="22" t="s">
        <v>44</v>
      </c>
      <c r="B21" s="45"/>
      <c r="C21" s="45">
        <v>20000.0</v>
      </c>
      <c r="D21" s="45">
        <f t="shared" ref="D21:J21" si="2">C21</f>
        <v>20000</v>
      </c>
      <c r="E21" s="45">
        <f t="shared" si="2"/>
        <v>20000</v>
      </c>
      <c r="F21" s="45">
        <f t="shared" si="2"/>
        <v>20000</v>
      </c>
      <c r="G21" s="45">
        <f t="shared" si="2"/>
        <v>20000</v>
      </c>
      <c r="H21" s="45">
        <f t="shared" si="2"/>
        <v>20000</v>
      </c>
      <c r="I21" s="45">
        <f t="shared" si="2"/>
        <v>20000</v>
      </c>
      <c r="J21" s="45">
        <f t="shared" si="2"/>
        <v>20000</v>
      </c>
    </row>
    <row r="22" ht="12.75" customHeight="1">
      <c r="A22" s="22" t="s">
        <v>68</v>
      </c>
      <c r="B22" s="45"/>
      <c r="C22" s="45">
        <f t="shared" ref="C22:J22" si="3">$B$14</f>
        <v>40260.56828</v>
      </c>
      <c r="D22" s="45">
        <f t="shared" si="3"/>
        <v>40260.56828</v>
      </c>
      <c r="E22" s="45">
        <f t="shared" si="3"/>
        <v>40260.56828</v>
      </c>
      <c r="F22" s="45">
        <f t="shared" si="3"/>
        <v>40260.56828</v>
      </c>
      <c r="G22" s="45">
        <f t="shared" si="3"/>
        <v>40260.56828</v>
      </c>
      <c r="H22" s="45">
        <f t="shared" si="3"/>
        <v>40260.56828</v>
      </c>
      <c r="I22" s="45">
        <f t="shared" si="3"/>
        <v>40260.56828</v>
      </c>
      <c r="J22" s="45">
        <f t="shared" si="3"/>
        <v>40260.56828</v>
      </c>
    </row>
    <row r="23" ht="12.75" customHeight="1">
      <c r="A23" s="33" t="s">
        <v>10</v>
      </c>
      <c r="B23" s="46">
        <f t="shared" ref="B23:J23" si="4">SUM(B20:B22)</f>
        <v>600000</v>
      </c>
      <c r="C23" s="46">
        <f t="shared" si="4"/>
        <v>60260.56828</v>
      </c>
      <c r="D23" s="46">
        <f t="shared" si="4"/>
        <v>60260.56828</v>
      </c>
      <c r="E23" s="46">
        <f t="shared" si="4"/>
        <v>60260.56828</v>
      </c>
      <c r="F23" s="46">
        <f t="shared" si="4"/>
        <v>60260.56828</v>
      </c>
      <c r="G23" s="46">
        <f t="shared" si="4"/>
        <v>60260.56828</v>
      </c>
      <c r="H23" s="46">
        <f t="shared" si="4"/>
        <v>60260.56828</v>
      </c>
      <c r="I23" s="46">
        <f t="shared" si="4"/>
        <v>60260.56828</v>
      </c>
      <c r="J23" s="46">
        <f t="shared" si="4"/>
        <v>60260.56828</v>
      </c>
    </row>
    <row r="24" ht="12.75" customHeight="1">
      <c r="A24" s="22" t="s">
        <v>45</v>
      </c>
      <c r="B24" s="45"/>
      <c r="C24" s="45"/>
      <c r="D24" s="45"/>
      <c r="E24" s="45"/>
      <c r="F24" s="45"/>
      <c r="G24" s="45"/>
      <c r="H24" s="45"/>
      <c r="I24" s="45"/>
      <c r="J24" s="45">
        <v>80000.0</v>
      </c>
    </row>
    <row r="25" ht="12.75" customHeight="1">
      <c r="A25" s="22" t="s">
        <v>69</v>
      </c>
      <c r="B25" s="45">
        <v>200000.0</v>
      </c>
      <c r="C25" s="45"/>
      <c r="D25" s="45"/>
      <c r="E25" s="45"/>
      <c r="F25" s="45"/>
      <c r="G25" s="45"/>
      <c r="H25" s="45"/>
      <c r="I25" s="45"/>
      <c r="J25" s="45"/>
    </row>
    <row r="26" ht="12.75" customHeight="1">
      <c r="A26" s="33" t="s">
        <v>12</v>
      </c>
      <c r="B26" s="46">
        <f t="shared" ref="B26:J26" si="5">SUM(B24:B25)</f>
        <v>200000</v>
      </c>
      <c r="C26" s="46">
        <f t="shared" si="5"/>
        <v>0</v>
      </c>
      <c r="D26" s="46">
        <f t="shared" si="5"/>
        <v>0</v>
      </c>
      <c r="E26" s="46">
        <f t="shared" si="5"/>
        <v>0</v>
      </c>
      <c r="F26" s="46">
        <f t="shared" si="5"/>
        <v>0</v>
      </c>
      <c r="G26" s="46">
        <f t="shared" si="5"/>
        <v>0</v>
      </c>
      <c r="H26" s="46">
        <f t="shared" si="5"/>
        <v>0</v>
      </c>
      <c r="I26" s="46">
        <f t="shared" si="5"/>
        <v>0</v>
      </c>
      <c r="J26" s="46">
        <f t="shared" si="5"/>
        <v>80000</v>
      </c>
    </row>
    <row r="27" ht="12.75" customHeight="1">
      <c r="A27" s="36" t="s">
        <v>46</v>
      </c>
      <c r="B27" s="39">
        <f t="shared" ref="B27:J27" si="6">B26-B23</f>
        <v>-400000</v>
      </c>
      <c r="C27" s="39">
        <f t="shared" si="6"/>
        <v>-60260.56828</v>
      </c>
      <c r="D27" s="39">
        <f t="shared" si="6"/>
        <v>-60260.56828</v>
      </c>
      <c r="E27" s="39">
        <f t="shared" si="6"/>
        <v>-60260.56828</v>
      </c>
      <c r="F27" s="39">
        <f t="shared" si="6"/>
        <v>-60260.56828</v>
      </c>
      <c r="G27" s="39">
        <f t="shared" si="6"/>
        <v>-60260.56828</v>
      </c>
      <c r="H27" s="39">
        <f t="shared" si="6"/>
        <v>-60260.56828</v>
      </c>
      <c r="I27" s="39">
        <f t="shared" si="6"/>
        <v>-60260.56828</v>
      </c>
      <c r="J27" s="39">
        <f t="shared" si="6"/>
        <v>19739.43172</v>
      </c>
    </row>
    <row r="28" ht="12.75" customHeight="1">
      <c r="A28" s="32" t="s">
        <v>47</v>
      </c>
      <c r="B28" s="40">
        <f>B27</f>
        <v>-400000</v>
      </c>
      <c r="C28" s="40">
        <f t="shared" ref="C28:J28" si="7">B28+C27</f>
        <v>-460260.5683</v>
      </c>
      <c r="D28" s="40">
        <f t="shared" si="7"/>
        <v>-520521.1366</v>
      </c>
      <c r="E28" s="40">
        <f t="shared" si="7"/>
        <v>-580781.7048</v>
      </c>
      <c r="F28" s="40">
        <f t="shared" si="7"/>
        <v>-641042.2731</v>
      </c>
      <c r="G28" s="40">
        <f t="shared" si="7"/>
        <v>-701302.8414</v>
      </c>
      <c r="H28" s="40">
        <f t="shared" si="7"/>
        <v>-761563.4097</v>
      </c>
      <c r="I28" s="40">
        <f t="shared" si="7"/>
        <v>-821823.9779</v>
      </c>
      <c r="J28" s="40">
        <f t="shared" si="7"/>
        <v>-802084.5462</v>
      </c>
    </row>
    <row r="29" ht="12.75" customHeight="1">
      <c r="A29" s="36" t="s">
        <v>15</v>
      </c>
      <c r="B29" s="39">
        <f>B27</f>
        <v>-400000</v>
      </c>
      <c r="C29" s="39">
        <f t="shared" ref="C29:J29" si="8">C27/(1+$D$32)^C19</f>
        <v>-54782.3348</v>
      </c>
      <c r="D29" s="39">
        <f t="shared" si="8"/>
        <v>-49802.12254</v>
      </c>
      <c r="E29" s="39">
        <f t="shared" si="8"/>
        <v>-45274.65686</v>
      </c>
      <c r="F29" s="39">
        <f t="shared" si="8"/>
        <v>-41158.77896</v>
      </c>
      <c r="G29" s="39">
        <f t="shared" si="8"/>
        <v>-37417.07178</v>
      </c>
      <c r="H29" s="39">
        <f t="shared" si="8"/>
        <v>-34015.5198</v>
      </c>
      <c r="I29" s="39">
        <f t="shared" si="8"/>
        <v>-30923.19982</v>
      </c>
      <c r="J29" s="39">
        <f t="shared" si="8"/>
        <v>9208.590581</v>
      </c>
    </row>
    <row r="30" ht="12.75" customHeight="1">
      <c r="A30" s="32" t="s">
        <v>49</v>
      </c>
      <c r="B30" s="40">
        <f>B27</f>
        <v>-400000</v>
      </c>
      <c r="C30" s="40">
        <f t="shared" ref="C30:J30" si="9">B30+C29</f>
        <v>-454782.3348</v>
      </c>
      <c r="D30" s="40">
        <f t="shared" si="9"/>
        <v>-504584.4573</v>
      </c>
      <c r="E30" s="40">
        <f t="shared" si="9"/>
        <v>-549859.1142</v>
      </c>
      <c r="F30" s="40">
        <f t="shared" si="9"/>
        <v>-591017.8932</v>
      </c>
      <c r="G30" s="40">
        <f t="shared" si="9"/>
        <v>-628434.9649</v>
      </c>
      <c r="H30" s="40">
        <f t="shared" si="9"/>
        <v>-662450.4847</v>
      </c>
      <c r="I30" s="40">
        <f t="shared" si="9"/>
        <v>-693373.6846</v>
      </c>
      <c r="J30" s="40">
        <f t="shared" si="9"/>
        <v>-684165.094</v>
      </c>
    </row>
    <row r="31" ht="12.75" customHeight="1">
      <c r="A31" s="21"/>
      <c r="B31" s="22"/>
      <c r="C31" s="23"/>
      <c r="D31" s="23"/>
      <c r="E31" s="23"/>
      <c r="F31" s="23"/>
      <c r="G31" s="23"/>
      <c r="H31" s="23"/>
      <c r="I31" s="23"/>
      <c r="J31" s="23"/>
    </row>
    <row r="32" ht="12.75" customHeight="1">
      <c r="A32" s="41" t="s">
        <v>50</v>
      </c>
      <c r="B32" s="42">
        <f>SUM(B29:J29)</f>
        <v>-684165.094</v>
      </c>
      <c r="C32" s="22" t="s">
        <v>51</v>
      </c>
      <c r="D32" s="26">
        <v>0.1</v>
      </c>
      <c r="E32" s="26" t="s">
        <v>52</v>
      </c>
      <c r="G32" s="22" t="s">
        <v>70</v>
      </c>
      <c r="H32" s="41" t="s">
        <v>50</v>
      </c>
      <c r="I32" s="48">
        <v>-680573.8107020627</v>
      </c>
    </row>
    <row r="33" ht="12.75" customHeight="1"/>
    <row r="34" ht="12.75" customHeight="1">
      <c r="A34" s="28" t="s">
        <v>55</v>
      </c>
    </row>
    <row r="35" ht="12.75" customHeight="1">
      <c r="A35" s="1" t="s">
        <v>71</v>
      </c>
    </row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8:J18"/>
  </mergeCells>
  <conditionalFormatting sqref="C31:J31">
    <cfRule type="cellIs" dxfId="0" priority="1" stopIfTrue="1" operator="lessThan">
      <formula>0</formula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1.63"/>
    <col customWidth="1" min="2" max="2" width="11.88"/>
    <col customWidth="1" min="3" max="5" width="10.38"/>
    <col customWidth="1" min="6" max="10" width="9.25"/>
    <col customWidth="1" min="11" max="12" width="8.75"/>
    <col customWidth="1" min="13" max="13" width="6.25"/>
    <col customWidth="1" min="14" max="26" width="8.63"/>
  </cols>
  <sheetData>
    <row r="1" ht="12.75" customHeight="1"/>
    <row r="2" ht="12.75" customHeight="1">
      <c r="A2" s="28" t="s">
        <v>72</v>
      </c>
    </row>
    <row r="3" ht="12.75" customHeight="1">
      <c r="A3" s="28" t="s">
        <v>73</v>
      </c>
    </row>
    <row r="4" ht="12.75" customHeight="1">
      <c r="A4" s="28" t="s">
        <v>74</v>
      </c>
    </row>
    <row r="5" ht="12.75" customHeight="1">
      <c r="A5" s="28" t="s">
        <v>75</v>
      </c>
    </row>
    <row r="6" ht="12.75" customHeight="1">
      <c r="A6" s="28" t="s">
        <v>76</v>
      </c>
      <c r="F6" s="1"/>
      <c r="M6" s="1"/>
    </row>
    <row r="7" ht="12.75" customHeight="1">
      <c r="A7" s="1" t="s">
        <v>77</v>
      </c>
      <c r="F7" s="1"/>
      <c r="M7" s="1"/>
    </row>
    <row r="8" ht="12.75" customHeight="1">
      <c r="A8" s="1"/>
      <c r="F8" s="1"/>
      <c r="M8" s="1"/>
    </row>
    <row r="9" ht="12.75" customHeight="1">
      <c r="A9" s="29" t="s">
        <v>39</v>
      </c>
      <c r="C9" s="1"/>
      <c r="F9" s="1"/>
      <c r="M9" s="1"/>
    </row>
    <row r="10" ht="12.75" customHeight="1"/>
    <row r="11" ht="12.75" customHeight="1">
      <c r="A11" s="5" t="s">
        <v>78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7"/>
    </row>
    <row r="12" ht="12.75" customHeight="1">
      <c r="A12" s="29" t="s">
        <v>8</v>
      </c>
      <c r="B12" s="32">
        <v>0.0</v>
      </c>
      <c r="C12" s="32">
        <f t="shared" ref="C12:L12" si="1">B12+1</f>
        <v>1</v>
      </c>
      <c r="D12" s="32">
        <f t="shared" si="1"/>
        <v>2</v>
      </c>
      <c r="E12" s="32">
        <f t="shared" si="1"/>
        <v>3</v>
      </c>
      <c r="F12" s="32">
        <f t="shared" si="1"/>
        <v>4</v>
      </c>
      <c r="G12" s="32">
        <f t="shared" si="1"/>
        <v>5</v>
      </c>
      <c r="H12" s="32">
        <f t="shared" si="1"/>
        <v>6</v>
      </c>
      <c r="I12" s="32">
        <f t="shared" si="1"/>
        <v>7</v>
      </c>
      <c r="J12" s="32">
        <f t="shared" si="1"/>
        <v>8</v>
      </c>
      <c r="K12" s="32">
        <f t="shared" si="1"/>
        <v>9</v>
      </c>
      <c r="L12" s="32">
        <f t="shared" si="1"/>
        <v>10</v>
      </c>
    </row>
    <row r="13" ht="12.75" customHeight="1">
      <c r="A13" s="22" t="s">
        <v>43</v>
      </c>
      <c r="B13" s="31">
        <v>20000.0</v>
      </c>
      <c r="C13" s="31"/>
      <c r="D13" s="31"/>
      <c r="E13" s="31"/>
      <c r="F13" s="31"/>
      <c r="G13" s="31"/>
      <c r="H13" s="31"/>
      <c r="I13" s="31"/>
      <c r="J13" s="31"/>
      <c r="K13" s="31"/>
      <c r="L13" s="31"/>
    </row>
    <row r="14" ht="12.75" customHeight="1">
      <c r="A14" s="49" t="s">
        <v>10</v>
      </c>
      <c r="B14" s="50">
        <f t="shared" ref="B14:L14" si="2">SUM(B13)</f>
        <v>20000</v>
      </c>
      <c r="C14" s="50">
        <f t="shared" si="2"/>
        <v>0</v>
      </c>
      <c r="D14" s="50">
        <f t="shared" si="2"/>
        <v>0</v>
      </c>
      <c r="E14" s="50">
        <f t="shared" si="2"/>
        <v>0</v>
      </c>
      <c r="F14" s="50">
        <f t="shared" si="2"/>
        <v>0</v>
      </c>
      <c r="G14" s="50">
        <f t="shared" si="2"/>
        <v>0</v>
      </c>
      <c r="H14" s="50">
        <f t="shared" si="2"/>
        <v>0</v>
      </c>
      <c r="I14" s="50">
        <f t="shared" si="2"/>
        <v>0</v>
      </c>
      <c r="J14" s="50">
        <f t="shared" si="2"/>
        <v>0</v>
      </c>
      <c r="K14" s="50">
        <f t="shared" si="2"/>
        <v>0</v>
      </c>
      <c r="L14" s="50">
        <f t="shared" si="2"/>
        <v>0</v>
      </c>
    </row>
    <row r="15" ht="12.75" customHeight="1">
      <c r="A15" s="22" t="s">
        <v>79</v>
      </c>
      <c r="B15" s="31"/>
      <c r="C15" s="31">
        <v>3116.0</v>
      </c>
      <c r="D15" s="31">
        <v>3116.0</v>
      </c>
      <c r="E15" s="31">
        <v>3116.0</v>
      </c>
      <c r="F15" s="31">
        <v>3116.0</v>
      </c>
      <c r="G15" s="31">
        <v>3116.0</v>
      </c>
      <c r="H15" s="31">
        <v>3116.0</v>
      </c>
      <c r="I15" s="31">
        <v>3116.0</v>
      </c>
      <c r="J15" s="31">
        <v>3116.0</v>
      </c>
      <c r="K15" s="31">
        <v>3116.0</v>
      </c>
      <c r="L15" s="31">
        <v>3116.0</v>
      </c>
    </row>
    <row r="16" ht="12.75" customHeight="1">
      <c r="A16" s="49" t="s">
        <v>12</v>
      </c>
      <c r="B16" s="50">
        <f t="shared" ref="B16:L16" si="3">SUM(B15)</f>
        <v>0</v>
      </c>
      <c r="C16" s="50">
        <f t="shared" si="3"/>
        <v>3116</v>
      </c>
      <c r="D16" s="50">
        <f t="shared" si="3"/>
        <v>3116</v>
      </c>
      <c r="E16" s="50">
        <f t="shared" si="3"/>
        <v>3116</v>
      </c>
      <c r="F16" s="50">
        <f t="shared" si="3"/>
        <v>3116</v>
      </c>
      <c r="G16" s="50">
        <f t="shared" si="3"/>
        <v>3116</v>
      </c>
      <c r="H16" s="50">
        <f t="shared" si="3"/>
        <v>3116</v>
      </c>
      <c r="I16" s="50">
        <f t="shared" si="3"/>
        <v>3116</v>
      </c>
      <c r="J16" s="50">
        <f t="shared" si="3"/>
        <v>3116</v>
      </c>
      <c r="K16" s="50">
        <f t="shared" si="3"/>
        <v>3116</v>
      </c>
      <c r="L16" s="50">
        <f t="shared" si="3"/>
        <v>3116</v>
      </c>
    </row>
    <row r="17" ht="12.75" customHeight="1">
      <c r="A17" s="36" t="s">
        <v>46</v>
      </c>
      <c r="B17" s="37">
        <f t="shared" ref="B17:L17" si="4">B16-B14</f>
        <v>-20000</v>
      </c>
      <c r="C17" s="37">
        <f t="shared" si="4"/>
        <v>3116</v>
      </c>
      <c r="D17" s="37">
        <f t="shared" si="4"/>
        <v>3116</v>
      </c>
      <c r="E17" s="37">
        <f t="shared" si="4"/>
        <v>3116</v>
      </c>
      <c r="F17" s="37">
        <f t="shared" si="4"/>
        <v>3116</v>
      </c>
      <c r="G17" s="37">
        <f t="shared" si="4"/>
        <v>3116</v>
      </c>
      <c r="H17" s="37">
        <f t="shared" si="4"/>
        <v>3116</v>
      </c>
      <c r="I17" s="37">
        <f t="shared" si="4"/>
        <v>3116</v>
      </c>
      <c r="J17" s="37">
        <f t="shared" si="4"/>
        <v>3116</v>
      </c>
      <c r="K17" s="37">
        <f t="shared" si="4"/>
        <v>3116</v>
      </c>
      <c r="L17" s="37">
        <f t="shared" si="4"/>
        <v>3116</v>
      </c>
    </row>
    <row r="18" ht="12.75" customHeight="1">
      <c r="A18" s="32" t="s">
        <v>47</v>
      </c>
      <c r="B18" s="38">
        <f>B17</f>
        <v>-20000</v>
      </c>
      <c r="C18" s="38">
        <f t="shared" ref="C18:L18" si="5">B18+C17</f>
        <v>-16884</v>
      </c>
      <c r="D18" s="38">
        <f t="shared" si="5"/>
        <v>-13768</v>
      </c>
      <c r="E18" s="38">
        <f t="shared" si="5"/>
        <v>-10652</v>
      </c>
      <c r="F18" s="38">
        <f t="shared" si="5"/>
        <v>-7536</v>
      </c>
      <c r="G18" s="38">
        <f t="shared" si="5"/>
        <v>-4420</v>
      </c>
      <c r="H18" s="38">
        <f t="shared" si="5"/>
        <v>-1304</v>
      </c>
      <c r="I18" s="38">
        <f t="shared" si="5"/>
        <v>1812</v>
      </c>
      <c r="J18" s="38">
        <f t="shared" si="5"/>
        <v>4928</v>
      </c>
      <c r="K18" s="38">
        <f t="shared" si="5"/>
        <v>8044</v>
      </c>
      <c r="L18" s="38">
        <f t="shared" si="5"/>
        <v>11160</v>
      </c>
    </row>
    <row r="19" ht="12.75" customHeight="1">
      <c r="A19" s="36" t="s">
        <v>15</v>
      </c>
      <c r="B19" s="39">
        <f>B17</f>
        <v>-20000</v>
      </c>
      <c r="C19" s="39">
        <f t="shared" ref="C19:L19" si="6">C17/(1+$E$22)^C12</f>
        <v>2939.622642</v>
      </c>
      <c r="D19" s="39">
        <f t="shared" si="6"/>
        <v>2773.228907</v>
      </c>
      <c r="E19" s="39">
        <f t="shared" si="6"/>
        <v>2616.253686</v>
      </c>
      <c r="F19" s="39">
        <f t="shared" si="6"/>
        <v>2468.163855</v>
      </c>
      <c r="G19" s="39">
        <f t="shared" si="6"/>
        <v>2328.456467</v>
      </c>
      <c r="H19" s="39">
        <f t="shared" si="6"/>
        <v>2196.657044</v>
      </c>
      <c r="I19" s="39">
        <f t="shared" si="6"/>
        <v>2072.317966</v>
      </c>
      <c r="J19" s="39">
        <f t="shared" si="6"/>
        <v>1955.016949</v>
      </c>
      <c r="K19" s="39">
        <f t="shared" si="6"/>
        <v>1844.355612</v>
      </c>
      <c r="L19" s="39">
        <f t="shared" si="6"/>
        <v>1739.958125</v>
      </c>
    </row>
    <row r="20" ht="12.75" customHeight="1">
      <c r="A20" s="32" t="s">
        <v>49</v>
      </c>
      <c r="B20" s="40">
        <f>B17</f>
        <v>-20000</v>
      </c>
      <c r="C20" s="40">
        <f t="shared" ref="C20:L20" si="7">B20+C19</f>
        <v>-17060.37736</v>
      </c>
      <c r="D20" s="40">
        <f t="shared" si="7"/>
        <v>-14287.14845</v>
      </c>
      <c r="E20" s="40">
        <f t="shared" si="7"/>
        <v>-11670.89477</v>
      </c>
      <c r="F20" s="40">
        <f t="shared" si="7"/>
        <v>-9202.730911</v>
      </c>
      <c r="G20" s="40">
        <f t="shared" si="7"/>
        <v>-6874.274444</v>
      </c>
      <c r="H20" s="40">
        <f t="shared" si="7"/>
        <v>-4677.6174</v>
      </c>
      <c r="I20" s="40">
        <f t="shared" si="7"/>
        <v>-2605.299434</v>
      </c>
      <c r="J20" s="40">
        <f t="shared" si="7"/>
        <v>-650.282485</v>
      </c>
      <c r="K20" s="51">
        <f t="shared" si="7"/>
        <v>1194.073127</v>
      </c>
      <c r="L20" s="40">
        <f t="shared" si="7"/>
        <v>2934.031252</v>
      </c>
    </row>
    <row r="21" ht="12.75" customHeight="1">
      <c r="A21" s="21"/>
      <c r="B21" s="22"/>
      <c r="C21" s="23"/>
      <c r="D21" s="23"/>
      <c r="E21" s="23"/>
      <c r="F21" s="23"/>
      <c r="G21" s="23"/>
      <c r="H21" s="23"/>
      <c r="I21" s="23"/>
      <c r="J21" s="23"/>
      <c r="K21" s="23"/>
      <c r="L21" s="23"/>
    </row>
    <row r="22" ht="12.75" customHeight="1">
      <c r="A22" s="52" t="s">
        <v>80</v>
      </c>
      <c r="B22" s="53">
        <f>IRR(B17:L17,E22)</f>
        <v>0.08997070765</v>
      </c>
      <c r="C22" s="23" t="s">
        <v>52</v>
      </c>
      <c r="D22" s="22" t="s">
        <v>81</v>
      </c>
      <c r="E22" s="26">
        <v>0.06</v>
      </c>
      <c r="F22" s="26" t="s">
        <v>52</v>
      </c>
      <c r="G22" s="23"/>
      <c r="H22" s="23"/>
      <c r="I22" s="23"/>
      <c r="J22" s="23"/>
      <c r="K22" s="23"/>
      <c r="L22" s="23"/>
    </row>
    <row r="23" ht="12.75" customHeight="1">
      <c r="A23" s="41" t="s">
        <v>82</v>
      </c>
      <c r="B23" s="54">
        <v>9.0</v>
      </c>
      <c r="C23" s="28" t="s">
        <v>83</v>
      </c>
      <c r="G23" s="11"/>
      <c r="H23" s="11"/>
      <c r="I23" s="11"/>
      <c r="J23" s="11"/>
      <c r="K23" s="11"/>
    </row>
    <row r="24" ht="12.75" customHeight="1"/>
    <row r="25" ht="12.75" customHeight="1">
      <c r="A25" s="5" t="s">
        <v>84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7"/>
    </row>
    <row r="26" ht="12.75" customHeight="1">
      <c r="A26" s="29" t="s">
        <v>8</v>
      </c>
      <c r="B26" s="32">
        <v>0.0</v>
      </c>
      <c r="C26" s="32">
        <f t="shared" ref="C26:L26" si="8">B26+1</f>
        <v>1</v>
      </c>
      <c r="D26" s="32">
        <f t="shared" si="8"/>
        <v>2</v>
      </c>
      <c r="E26" s="32">
        <f t="shared" si="8"/>
        <v>3</v>
      </c>
      <c r="F26" s="32">
        <f t="shared" si="8"/>
        <v>4</v>
      </c>
      <c r="G26" s="32">
        <f t="shared" si="8"/>
        <v>5</v>
      </c>
      <c r="H26" s="32">
        <f t="shared" si="8"/>
        <v>6</v>
      </c>
      <c r="I26" s="32">
        <f t="shared" si="8"/>
        <v>7</v>
      </c>
      <c r="J26" s="32">
        <f t="shared" si="8"/>
        <v>8</v>
      </c>
      <c r="K26" s="32">
        <f t="shared" si="8"/>
        <v>9</v>
      </c>
      <c r="L26" s="32">
        <f t="shared" si="8"/>
        <v>10</v>
      </c>
    </row>
    <row r="27" ht="12.75" customHeight="1">
      <c r="A27" s="22" t="s">
        <v>43</v>
      </c>
      <c r="B27" s="31">
        <v>10000.0</v>
      </c>
      <c r="C27" s="31"/>
      <c r="D27" s="31"/>
      <c r="E27" s="31"/>
      <c r="F27" s="31"/>
      <c r="G27" s="31"/>
      <c r="H27" s="31"/>
      <c r="I27" s="31"/>
      <c r="J27" s="31"/>
      <c r="K27" s="31"/>
      <c r="L27" s="31"/>
    </row>
    <row r="28" ht="12.75" customHeight="1">
      <c r="A28" s="49" t="s">
        <v>10</v>
      </c>
      <c r="B28" s="50">
        <f t="shared" ref="B28:L28" si="9">SUM(B27)</f>
        <v>10000</v>
      </c>
      <c r="C28" s="50">
        <f t="shared" si="9"/>
        <v>0</v>
      </c>
      <c r="D28" s="50">
        <f t="shared" si="9"/>
        <v>0</v>
      </c>
      <c r="E28" s="50">
        <f t="shared" si="9"/>
        <v>0</v>
      </c>
      <c r="F28" s="50">
        <f t="shared" si="9"/>
        <v>0</v>
      </c>
      <c r="G28" s="50">
        <f t="shared" si="9"/>
        <v>0</v>
      </c>
      <c r="H28" s="50">
        <f t="shared" si="9"/>
        <v>0</v>
      </c>
      <c r="I28" s="50">
        <f t="shared" si="9"/>
        <v>0</v>
      </c>
      <c r="J28" s="50">
        <f t="shared" si="9"/>
        <v>0</v>
      </c>
      <c r="K28" s="50">
        <f t="shared" si="9"/>
        <v>0</v>
      </c>
      <c r="L28" s="50">
        <f t="shared" si="9"/>
        <v>0</v>
      </c>
    </row>
    <row r="29" ht="12.75" customHeight="1">
      <c r="A29" s="22" t="s">
        <v>79</v>
      </c>
      <c r="B29" s="31"/>
      <c r="C29" s="31">
        <v>1628.0</v>
      </c>
      <c r="D29" s="31">
        <v>1628.0</v>
      </c>
      <c r="E29" s="31">
        <v>1628.0</v>
      </c>
      <c r="F29" s="31">
        <v>1628.0</v>
      </c>
      <c r="G29" s="31">
        <v>1628.0</v>
      </c>
      <c r="H29" s="31">
        <v>1628.0</v>
      </c>
      <c r="I29" s="31">
        <v>1628.0</v>
      </c>
      <c r="J29" s="31">
        <v>1628.0</v>
      </c>
      <c r="K29" s="31">
        <v>1628.0</v>
      </c>
      <c r="L29" s="31">
        <v>1628.0</v>
      </c>
    </row>
    <row r="30" ht="12.75" customHeight="1">
      <c r="A30" s="49" t="s">
        <v>12</v>
      </c>
      <c r="B30" s="50">
        <f t="shared" ref="B30:L30" si="10">SUM(B29)</f>
        <v>0</v>
      </c>
      <c r="C30" s="50">
        <f t="shared" si="10"/>
        <v>1628</v>
      </c>
      <c r="D30" s="50">
        <f t="shared" si="10"/>
        <v>1628</v>
      </c>
      <c r="E30" s="50">
        <f t="shared" si="10"/>
        <v>1628</v>
      </c>
      <c r="F30" s="50">
        <f t="shared" si="10"/>
        <v>1628</v>
      </c>
      <c r="G30" s="50">
        <f t="shared" si="10"/>
        <v>1628</v>
      </c>
      <c r="H30" s="50">
        <f t="shared" si="10"/>
        <v>1628</v>
      </c>
      <c r="I30" s="50">
        <f t="shared" si="10"/>
        <v>1628</v>
      </c>
      <c r="J30" s="50">
        <f t="shared" si="10"/>
        <v>1628</v>
      </c>
      <c r="K30" s="50">
        <f t="shared" si="10"/>
        <v>1628</v>
      </c>
      <c r="L30" s="50">
        <f t="shared" si="10"/>
        <v>1628</v>
      </c>
    </row>
    <row r="31" ht="12.75" customHeight="1">
      <c r="A31" s="36" t="s">
        <v>46</v>
      </c>
      <c r="B31" s="37">
        <f t="shared" ref="B31:L31" si="11">B30-B28</f>
        <v>-10000</v>
      </c>
      <c r="C31" s="37">
        <f t="shared" si="11"/>
        <v>1628</v>
      </c>
      <c r="D31" s="37">
        <f t="shared" si="11"/>
        <v>1628</v>
      </c>
      <c r="E31" s="37">
        <f t="shared" si="11"/>
        <v>1628</v>
      </c>
      <c r="F31" s="37">
        <f t="shared" si="11"/>
        <v>1628</v>
      </c>
      <c r="G31" s="37">
        <f t="shared" si="11"/>
        <v>1628</v>
      </c>
      <c r="H31" s="37">
        <f t="shared" si="11"/>
        <v>1628</v>
      </c>
      <c r="I31" s="37">
        <f t="shared" si="11"/>
        <v>1628</v>
      </c>
      <c r="J31" s="37">
        <f t="shared" si="11"/>
        <v>1628</v>
      </c>
      <c r="K31" s="37">
        <f t="shared" si="11"/>
        <v>1628</v>
      </c>
      <c r="L31" s="37">
        <f t="shared" si="11"/>
        <v>1628</v>
      </c>
    </row>
    <row r="32" ht="12.75" customHeight="1">
      <c r="A32" s="32" t="s">
        <v>47</v>
      </c>
      <c r="B32" s="38">
        <f>B31</f>
        <v>-10000</v>
      </c>
      <c r="C32" s="38">
        <f t="shared" ref="C32:L32" si="12">B32+C31</f>
        <v>-8372</v>
      </c>
      <c r="D32" s="38">
        <f t="shared" si="12"/>
        <v>-6744</v>
      </c>
      <c r="E32" s="38">
        <f t="shared" si="12"/>
        <v>-5116</v>
      </c>
      <c r="F32" s="38">
        <f t="shared" si="12"/>
        <v>-3488</v>
      </c>
      <c r="G32" s="38">
        <f t="shared" si="12"/>
        <v>-1860</v>
      </c>
      <c r="H32" s="38">
        <f t="shared" si="12"/>
        <v>-232</v>
      </c>
      <c r="I32" s="38">
        <f t="shared" si="12"/>
        <v>1396</v>
      </c>
      <c r="J32" s="38">
        <f t="shared" si="12"/>
        <v>3024</v>
      </c>
      <c r="K32" s="38">
        <f t="shared" si="12"/>
        <v>4652</v>
      </c>
      <c r="L32" s="38">
        <f t="shared" si="12"/>
        <v>6280</v>
      </c>
    </row>
    <row r="33" ht="12.75" customHeight="1">
      <c r="A33" s="36" t="s">
        <v>15</v>
      </c>
      <c r="B33" s="39">
        <f>B31</f>
        <v>-10000</v>
      </c>
      <c r="C33" s="39">
        <f t="shared" ref="C33:L33" si="13">C31/(1+$E$36)^C26</f>
        <v>1535.849057</v>
      </c>
      <c r="D33" s="39">
        <f t="shared" si="13"/>
        <v>1448.914204</v>
      </c>
      <c r="E33" s="39">
        <f t="shared" si="13"/>
        <v>1366.900193</v>
      </c>
      <c r="F33" s="39">
        <f t="shared" si="13"/>
        <v>1289.528484</v>
      </c>
      <c r="G33" s="39">
        <f t="shared" si="13"/>
        <v>1216.536305</v>
      </c>
      <c r="H33" s="39">
        <f t="shared" si="13"/>
        <v>1147.67576</v>
      </c>
      <c r="I33" s="39">
        <f t="shared" si="13"/>
        <v>1082.712981</v>
      </c>
      <c r="J33" s="39">
        <f t="shared" si="13"/>
        <v>1021.427341</v>
      </c>
      <c r="K33" s="39">
        <f t="shared" si="13"/>
        <v>963.6106986</v>
      </c>
      <c r="L33" s="39">
        <f t="shared" si="13"/>
        <v>909.0666968</v>
      </c>
    </row>
    <row r="34" ht="12.75" customHeight="1">
      <c r="A34" s="32" t="s">
        <v>49</v>
      </c>
      <c r="B34" s="40">
        <f>B31</f>
        <v>-10000</v>
      </c>
      <c r="C34" s="40">
        <f t="shared" ref="C34:L34" si="14">B34+C33</f>
        <v>-8464.150943</v>
      </c>
      <c r="D34" s="40">
        <f t="shared" si="14"/>
        <v>-7015.236739</v>
      </c>
      <c r="E34" s="40">
        <f t="shared" si="14"/>
        <v>-5648.336546</v>
      </c>
      <c r="F34" s="40">
        <f t="shared" si="14"/>
        <v>-4358.808063</v>
      </c>
      <c r="G34" s="40">
        <f t="shared" si="14"/>
        <v>-3142.271757</v>
      </c>
      <c r="H34" s="40">
        <f t="shared" si="14"/>
        <v>-1994.595997</v>
      </c>
      <c r="I34" s="40">
        <f t="shared" si="14"/>
        <v>-911.8830163</v>
      </c>
      <c r="J34" s="51">
        <f t="shared" si="14"/>
        <v>109.5443243</v>
      </c>
      <c r="K34" s="40">
        <f t="shared" si="14"/>
        <v>1073.155023</v>
      </c>
      <c r="L34" s="40">
        <f t="shared" si="14"/>
        <v>1982.22172</v>
      </c>
    </row>
    <row r="35" ht="12.75" customHeight="1">
      <c r="A35" s="21"/>
      <c r="B35" s="22"/>
      <c r="C35" s="23"/>
      <c r="D35" s="23"/>
      <c r="E35" s="23"/>
      <c r="F35" s="23"/>
      <c r="G35" s="23"/>
      <c r="H35" s="23"/>
      <c r="I35" s="23"/>
      <c r="J35" s="23"/>
      <c r="K35" s="23"/>
      <c r="L35" s="23"/>
    </row>
    <row r="36" ht="12.75" customHeight="1">
      <c r="A36" s="52" t="s">
        <v>80</v>
      </c>
      <c r="B36" s="53">
        <f>IRR(B31:L31,E36)</f>
        <v>0.1000780983</v>
      </c>
      <c r="C36" s="23"/>
      <c r="D36" s="22" t="s">
        <v>81</v>
      </c>
      <c r="E36" s="26">
        <v>0.06</v>
      </c>
      <c r="F36" s="26" t="s">
        <v>52</v>
      </c>
      <c r="G36" s="23"/>
      <c r="H36" s="23"/>
      <c r="I36" s="23"/>
      <c r="J36" s="23"/>
      <c r="K36" s="23"/>
      <c r="L36" s="23"/>
    </row>
    <row r="37" ht="12.75" customHeight="1">
      <c r="A37" s="41" t="s">
        <v>82</v>
      </c>
      <c r="B37" s="54">
        <v>8.0</v>
      </c>
      <c r="C37" s="28" t="s">
        <v>83</v>
      </c>
      <c r="G37" s="11"/>
      <c r="H37" s="11"/>
      <c r="I37" s="11"/>
      <c r="J37" s="11"/>
      <c r="K37" s="11"/>
    </row>
    <row r="38" ht="12.75" customHeight="1"/>
    <row r="39" ht="12.75" customHeight="1">
      <c r="A39" s="29" t="s">
        <v>55</v>
      </c>
    </row>
    <row r="40" ht="12.75" customHeight="1">
      <c r="A40" s="28" t="s">
        <v>85</v>
      </c>
    </row>
    <row r="41" ht="12.75" customHeight="1">
      <c r="A41" s="28" t="s">
        <v>86</v>
      </c>
    </row>
    <row r="42" ht="12.75" customHeight="1"/>
    <row r="43" ht="12.75" customHeight="1">
      <c r="A43" s="28" t="s">
        <v>87</v>
      </c>
    </row>
    <row r="44" ht="12.75" customHeight="1"/>
    <row r="45" ht="12.75" customHeight="1">
      <c r="A45" s="28" t="s">
        <v>88</v>
      </c>
      <c r="B45" s="42">
        <f>SUM(B19:L19)</f>
        <v>2934.031252</v>
      </c>
    </row>
    <row r="46" ht="12.75" customHeight="1">
      <c r="A46" s="28" t="s">
        <v>89</v>
      </c>
      <c r="B46" s="42">
        <f>SUM(B33:L33)</f>
        <v>1982.22172</v>
      </c>
    </row>
    <row r="47" ht="12.75" customHeight="1"/>
    <row r="48" ht="12.75" customHeight="1">
      <c r="A48" s="28" t="s">
        <v>90</v>
      </c>
    </row>
    <row r="49" ht="12.75" customHeight="1"/>
    <row r="50" ht="12.75" customHeight="1">
      <c r="A50" s="28" t="s">
        <v>91</v>
      </c>
    </row>
    <row r="51" ht="12.75" customHeight="1">
      <c r="A51" s="28" t="s">
        <v>92</v>
      </c>
    </row>
    <row r="52" ht="12.75" customHeight="1">
      <c r="A52" s="55" t="s">
        <v>93</v>
      </c>
      <c r="B52" s="55"/>
    </row>
    <row r="53" ht="12.75" customHeight="1"/>
    <row r="54" ht="12.75" customHeight="1">
      <c r="A54" s="28" t="s">
        <v>94</v>
      </c>
    </row>
    <row r="55" ht="12.75" customHeight="1"/>
    <row r="56" ht="12.75" customHeight="1">
      <c r="A56" s="28" t="s">
        <v>95</v>
      </c>
      <c r="B56" s="45">
        <v>10000.0</v>
      </c>
      <c r="D56" s="28" t="s">
        <v>96</v>
      </c>
    </row>
    <row r="57" ht="12.75" customHeight="1">
      <c r="A57" s="28" t="s">
        <v>65</v>
      </c>
      <c r="B57" s="56">
        <v>0.06</v>
      </c>
      <c r="C57" s="28" t="s">
        <v>52</v>
      </c>
      <c r="D57" s="28" t="s">
        <v>97</v>
      </c>
    </row>
    <row r="58" ht="12.75" customHeight="1">
      <c r="A58" s="28" t="s">
        <v>64</v>
      </c>
      <c r="B58" s="28">
        <v>10.0</v>
      </c>
      <c r="C58" s="28" t="s">
        <v>83</v>
      </c>
    </row>
    <row r="59" ht="12.75" customHeight="1">
      <c r="A59" s="28" t="s">
        <v>66</v>
      </c>
      <c r="B59" s="45">
        <f>PMT(B57,B58,-B56)</f>
        <v>1358.679582</v>
      </c>
      <c r="D59" s="28" t="s">
        <v>98</v>
      </c>
    </row>
    <row r="60" ht="12.75" customHeight="1"/>
    <row r="61" ht="12.75" customHeight="1">
      <c r="A61" s="28" t="s">
        <v>99</v>
      </c>
    </row>
    <row r="62" ht="12.75" customHeight="1"/>
    <row r="63" ht="12.75" customHeight="1">
      <c r="A63" s="5" t="s">
        <v>84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7"/>
    </row>
    <row r="64" ht="12.75" customHeight="1">
      <c r="A64" s="29" t="s">
        <v>8</v>
      </c>
      <c r="B64" s="32">
        <v>0.0</v>
      </c>
      <c r="C64" s="32">
        <f t="shared" ref="C64:L64" si="15">B64+1</f>
        <v>1</v>
      </c>
      <c r="D64" s="32">
        <f t="shared" si="15"/>
        <v>2</v>
      </c>
      <c r="E64" s="32">
        <f t="shared" si="15"/>
        <v>3</v>
      </c>
      <c r="F64" s="32">
        <f t="shared" si="15"/>
        <v>4</v>
      </c>
      <c r="G64" s="32">
        <f t="shared" si="15"/>
        <v>5</v>
      </c>
      <c r="H64" s="32">
        <f t="shared" si="15"/>
        <v>6</v>
      </c>
      <c r="I64" s="32">
        <f t="shared" si="15"/>
        <v>7</v>
      </c>
      <c r="J64" s="32">
        <f t="shared" si="15"/>
        <v>8</v>
      </c>
      <c r="K64" s="32">
        <f t="shared" si="15"/>
        <v>9</v>
      </c>
      <c r="L64" s="32">
        <f t="shared" si="15"/>
        <v>10</v>
      </c>
    </row>
    <row r="65" ht="12.75" customHeight="1">
      <c r="A65" s="22" t="s">
        <v>43</v>
      </c>
      <c r="B65" s="31">
        <v>10000.0</v>
      </c>
      <c r="C65" s="31"/>
      <c r="D65" s="31"/>
      <c r="E65" s="31"/>
      <c r="F65" s="31"/>
      <c r="G65" s="31"/>
      <c r="H65" s="31"/>
      <c r="I65" s="31"/>
      <c r="J65" s="31"/>
      <c r="K65" s="31"/>
      <c r="L65" s="31"/>
    </row>
    <row r="66" ht="12.75" customHeight="1">
      <c r="A66" s="22" t="s">
        <v>100</v>
      </c>
      <c r="B66" s="31">
        <v>10000.0</v>
      </c>
      <c r="C66" s="31"/>
      <c r="D66" s="31"/>
      <c r="E66" s="31"/>
      <c r="F66" s="31"/>
      <c r="G66" s="31"/>
      <c r="H66" s="31"/>
      <c r="I66" s="31"/>
      <c r="J66" s="31"/>
      <c r="K66" s="31"/>
      <c r="L66" s="31"/>
    </row>
    <row r="67" ht="12.75" customHeight="1">
      <c r="A67" s="49" t="s">
        <v>10</v>
      </c>
      <c r="B67" s="50">
        <f>SUM(B65:B66)</f>
        <v>20000</v>
      </c>
      <c r="C67" s="50">
        <f t="shared" ref="C67:L67" si="16">SUM(C65)</f>
        <v>0</v>
      </c>
      <c r="D67" s="50">
        <f t="shared" si="16"/>
        <v>0</v>
      </c>
      <c r="E67" s="50">
        <f t="shared" si="16"/>
        <v>0</v>
      </c>
      <c r="F67" s="50">
        <f t="shared" si="16"/>
        <v>0</v>
      </c>
      <c r="G67" s="50">
        <f t="shared" si="16"/>
        <v>0</v>
      </c>
      <c r="H67" s="50">
        <f t="shared" si="16"/>
        <v>0</v>
      </c>
      <c r="I67" s="50">
        <f t="shared" si="16"/>
        <v>0</v>
      </c>
      <c r="J67" s="50">
        <f t="shared" si="16"/>
        <v>0</v>
      </c>
      <c r="K67" s="50">
        <f t="shared" si="16"/>
        <v>0</v>
      </c>
      <c r="L67" s="50">
        <f t="shared" si="16"/>
        <v>0</v>
      </c>
    </row>
    <row r="68" ht="12.75" customHeight="1">
      <c r="A68" s="22" t="s">
        <v>101</v>
      </c>
      <c r="B68" s="31"/>
      <c r="C68" s="31">
        <v>1628.0</v>
      </c>
      <c r="D68" s="31">
        <v>1628.0</v>
      </c>
      <c r="E68" s="31">
        <v>1628.0</v>
      </c>
      <c r="F68" s="31">
        <v>1628.0</v>
      </c>
      <c r="G68" s="31">
        <v>1628.0</v>
      </c>
      <c r="H68" s="31">
        <v>1628.0</v>
      </c>
      <c r="I68" s="31">
        <v>1628.0</v>
      </c>
      <c r="J68" s="31">
        <v>1628.0</v>
      </c>
      <c r="K68" s="31">
        <v>1628.0</v>
      </c>
      <c r="L68" s="31">
        <v>1628.0</v>
      </c>
    </row>
    <row r="69" ht="12.75" customHeight="1">
      <c r="A69" s="22" t="s">
        <v>102</v>
      </c>
      <c r="B69" s="31"/>
      <c r="C69" s="31">
        <f t="shared" ref="C69:L69" si="17">$B$59</f>
        <v>1358.679582</v>
      </c>
      <c r="D69" s="31">
        <f t="shared" si="17"/>
        <v>1358.679582</v>
      </c>
      <c r="E69" s="31">
        <f t="shared" si="17"/>
        <v>1358.679582</v>
      </c>
      <c r="F69" s="31">
        <f t="shared" si="17"/>
        <v>1358.679582</v>
      </c>
      <c r="G69" s="31">
        <f t="shared" si="17"/>
        <v>1358.679582</v>
      </c>
      <c r="H69" s="31">
        <f t="shared" si="17"/>
        <v>1358.679582</v>
      </c>
      <c r="I69" s="31">
        <f t="shared" si="17"/>
        <v>1358.679582</v>
      </c>
      <c r="J69" s="31">
        <f t="shared" si="17"/>
        <v>1358.679582</v>
      </c>
      <c r="K69" s="31">
        <f t="shared" si="17"/>
        <v>1358.679582</v>
      </c>
      <c r="L69" s="31">
        <f t="shared" si="17"/>
        <v>1358.679582</v>
      </c>
    </row>
    <row r="70" ht="12.75" customHeight="1">
      <c r="A70" s="49" t="s">
        <v>12</v>
      </c>
      <c r="B70" s="50">
        <f>SUM(B68)</f>
        <v>0</v>
      </c>
      <c r="C70" s="50">
        <f t="shared" ref="C70:L70" si="18">SUM(C68:C69)</f>
        <v>2986.679582</v>
      </c>
      <c r="D70" s="50">
        <f t="shared" si="18"/>
        <v>2986.679582</v>
      </c>
      <c r="E70" s="50">
        <f t="shared" si="18"/>
        <v>2986.679582</v>
      </c>
      <c r="F70" s="50">
        <f t="shared" si="18"/>
        <v>2986.679582</v>
      </c>
      <c r="G70" s="50">
        <f t="shared" si="18"/>
        <v>2986.679582</v>
      </c>
      <c r="H70" s="50">
        <f t="shared" si="18"/>
        <v>2986.679582</v>
      </c>
      <c r="I70" s="50">
        <f t="shared" si="18"/>
        <v>2986.679582</v>
      </c>
      <c r="J70" s="50">
        <f t="shared" si="18"/>
        <v>2986.679582</v>
      </c>
      <c r="K70" s="50">
        <f t="shared" si="18"/>
        <v>2986.679582</v>
      </c>
      <c r="L70" s="50">
        <f t="shared" si="18"/>
        <v>2986.679582</v>
      </c>
    </row>
    <row r="71" ht="12.75" customHeight="1">
      <c r="A71" s="36" t="s">
        <v>46</v>
      </c>
      <c r="B71" s="37">
        <f t="shared" ref="B71:L71" si="19">B70-B67</f>
        <v>-20000</v>
      </c>
      <c r="C71" s="37">
        <f t="shared" si="19"/>
        <v>2986.679582</v>
      </c>
      <c r="D71" s="37">
        <f t="shared" si="19"/>
        <v>2986.679582</v>
      </c>
      <c r="E71" s="37">
        <f t="shared" si="19"/>
        <v>2986.679582</v>
      </c>
      <c r="F71" s="37">
        <f t="shared" si="19"/>
        <v>2986.679582</v>
      </c>
      <c r="G71" s="37">
        <f t="shared" si="19"/>
        <v>2986.679582</v>
      </c>
      <c r="H71" s="37">
        <f t="shared" si="19"/>
        <v>2986.679582</v>
      </c>
      <c r="I71" s="37">
        <f t="shared" si="19"/>
        <v>2986.679582</v>
      </c>
      <c r="J71" s="37">
        <f t="shared" si="19"/>
        <v>2986.679582</v>
      </c>
      <c r="K71" s="37">
        <f t="shared" si="19"/>
        <v>2986.679582</v>
      </c>
      <c r="L71" s="37">
        <f t="shared" si="19"/>
        <v>2986.679582</v>
      </c>
    </row>
    <row r="72" ht="12.75" customHeight="1">
      <c r="A72" s="32" t="s">
        <v>47</v>
      </c>
      <c r="B72" s="38">
        <f>B71</f>
        <v>-20000</v>
      </c>
      <c r="C72" s="38">
        <f t="shared" ref="C72:L72" si="20">B72+C71</f>
        <v>-17013.32042</v>
      </c>
      <c r="D72" s="38">
        <f t="shared" si="20"/>
        <v>-14026.64084</v>
      </c>
      <c r="E72" s="38">
        <f t="shared" si="20"/>
        <v>-11039.96125</v>
      </c>
      <c r="F72" s="38">
        <f t="shared" si="20"/>
        <v>-8053.281671</v>
      </c>
      <c r="G72" s="38">
        <f t="shared" si="20"/>
        <v>-5066.602089</v>
      </c>
      <c r="H72" s="38">
        <f t="shared" si="20"/>
        <v>-2079.922507</v>
      </c>
      <c r="I72" s="38">
        <f t="shared" si="20"/>
        <v>906.7570754</v>
      </c>
      <c r="J72" s="38">
        <f t="shared" si="20"/>
        <v>3893.436658</v>
      </c>
      <c r="K72" s="38">
        <f t="shared" si="20"/>
        <v>6880.11624</v>
      </c>
      <c r="L72" s="38">
        <f t="shared" si="20"/>
        <v>9866.795822</v>
      </c>
    </row>
    <row r="73" ht="12.75" customHeight="1">
      <c r="A73" s="36" t="s">
        <v>15</v>
      </c>
      <c r="B73" s="39">
        <f>B71</f>
        <v>-20000</v>
      </c>
      <c r="C73" s="39">
        <f t="shared" ref="C73:L73" si="21">C71/(1+$E$36)^C64</f>
        <v>2817.622247</v>
      </c>
      <c r="D73" s="39">
        <f t="shared" si="21"/>
        <v>2658.134196</v>
      </c>
      <c r="E73" s="39">
        <f t="shared" si="21"/>
        <v>2507.673769</v>
      </c>
      <c r="F73" s="39">
        <f t="shared" si="21"/>
        <v>2365.729971</v>
      </c>
      <c r="G73" s="39">
        <f t="shared" si="21"/>
        <v>2231.820728</v>
      </c>
      <c r="H73" s="39">
        <f t="shared" si="21"/>
        <v>2105.491252</v>
      </c>
      <c r="I73" s="39">
        <f t="shared" si="21"/>
        <v>1986.312502</v>
      </c>
      <c r="J73" s="39">
        <f t="shared" si="21"/>
        <v>1873.879719</v>
      </c>
      <c r="K73" s="39">
        <f t="shared" si="21"/>
        <v>1767.811056</v>
      </c>
      <c r="L73" s="39">
        <f t="shared" si="21"/>
        <v>1667.746279</v>
      </c>
    </row>
    <row r="74" ht="12.75" customHeight="1">
      <c r="A74" s="32" t="s">
        <v>49</v>
      </c>
      <c r="B74" s="40">
        <f>B71</f>
        <v>-20000</v>
      </c>
      <c r="C74" s="40">
        <f t="shared" ref="C74:L74" si="22">B74+C73</f>
        <v>-17182.37775</v>
      </c>
      <c r="D74" s="40">
        <f t="shared" si="22"/>
        <v>-14524.24356</v>
      </c>
      <c r="E74" s="40">
        <f t="shared" si="22"/>
        <v>-12016.56979</v>
      </c>
      <c r="F74" s="40">
        <f t="shared" si="22"/>
        <v>-9650.839816</v>
      </c>
      <c r="G74" s="40">
        <f t="shared" si="22"/>
        <v>-7419.019089</v>
      </c>
      <c r="H74" s="40">
        <f t="shared" si="22"/>
        <v>-5313.527836</v>
      </c>
      <c r="I74" s="40">
        <f t="shared" si="22"/>
        <v>-3327.215334</v>
      </c>
      <c r="J74" s="40">
        <f t="shared" si="22"/>
        <v>-1453.335615</v>
      </c>
      <c r="K74" s="51">
        <f t="shared" si="22"/>
        <v>314.4754407</v>
      </c>
      <c r="L74" s="40">
        <f t="shared" si="22"/>
        <v>1982.22172</v>
      </c>
    </row>
    <row r="75" ht="12.75" customHeight="1"/>
    <row r="76" ht="12.75" customHeight="1">
      <c r="A76" s="52" t="s">
        <v>103</v>
      </c>
      <c r="B76" s="53">
        <f>IRR(B71:L71,E76)</f>
        <v>0.08045276873</v>
      </c>
    </row>
    <row r="77" ht="12.75" customHeight="1">
      <c r="A77" s="52" t="s">
        <v>89</v>
      </c>
      <c r="B77" s="42">
        <f>SUM(B73:L73)</f>
        <v>1982.22172</v>
      </c>
    </row>
    <row r="78" ht="12.75" customHeight="1">
      <c r="A78" s="41" t="s">
        <v>82</v>
      </c>
      <c r="B78" s="54">
        <v>9.0</v>
      </c>
      <c r="C78" s="28" t="s">
        <v>83</v>
      </c>
    </row>
    <row r="79" ht="12.75" customHeight="1">
      <c r="A79" s="22"/>
      <c r="B79" s="57"/>
    </row>
    <row r="80" ht="12.75" customHeight="1">
      <c r="A80" s="28" t="s">
        <v>104</v>
      </c>
    </row>
    <row r="81" ht="12.75" customHeight="1">
      <c r="A81" s="28" t="s">
        <v>105</v>
      </c>
    </row>
    <row r="82" ht="12.75" customHeight="1">
      <c r="A82" s="28" t="s">
        <v>106</v>
      </c>
    </row>
    <row r="83" ht="12.75" customHeight="1"/>
    <row r="84" ht="12.75" customHeight="1">
      <c r="A84" s="28" t="s">
        <v>107</v>
      </c>
    </row>
    <row r="85" ht="12.75" customHeight="1">
      <c r="A85" s="28" t="s">
        <v>108</v>
      </c>
    </row>
    <row r="86" ht="12.75" customHeight="1"/>
    <row r="87" ht="12.75" customHeight="1">
      <c r="A87" s="28" t="s">
        <v>109</v>
      </c>
    </row>
    <row r="88" ht="12.75" customHeight="1">
      <c r="A88" s="28" t="s">
        <v>110</v>
      </c>
    </row>
    <row r="89" ht="12.75" customHeight="1">
      <c r="A89" s="28" t="s">
        <v>111</v>
      </c>
    </row>
    <row r="90" ht="12.75" customHeight="1">
      <c r="A90" s="28" t="s">
        <v>112</v>
      </c>
    </row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A11:L11"/>
    <mergeCell ref="A25:L25"/>
    <mergeCell ref="A63:L63"/>
  </mergeCells>
  <conditionalFormatting sqref="C21:L22">
    <cfRule type="cellIs" dxfId="0" priority="1" stopIfTrue="1" operator="lessThan">
      <formula>0</formula>
    </cfRule>
  </conditionalFormatting>
  <conditionalFormatting sqref="C35:L36">
    <cfRule type="cellIs" dxfId="0" priority="2" stopIfTrue="1" operator="lessThan">
      <formula>0</formula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2002-07-22T19:40:15Z</dcterms:created>
  <dc:creator>CarlosBoabaid</dc:creator>
</cp:coreProperties>
</file>