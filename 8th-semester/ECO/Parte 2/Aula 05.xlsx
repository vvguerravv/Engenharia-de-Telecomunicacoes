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erminologia" sheetId="1" state="visible" r:id="rId3"/>
    <sheet name="Aula 05 Exemplo 01" sheetId="2" state="visible" r:id="rId4"/>
    <sheet name="Aula 05 Exemplo 02" sheetId="3" state="visible" r:id="rId5"/>
    <sheet name="Aula 05 Exemplo 03" sheetId="4" state="visible" r:id="rId6"/>
    <sheet name="Aula 05 Exemplo 04" sheetId="5" state="visible" r:id="rId7"/>
    <sheet name="Aula 05 Exemplo 05" sheetId="6" state="visible" r:id="rId8"/>
    <sheet name="Aula 05 Exercícios" sheetId="7" state="visible" r:id="rId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<sst xmlns="http://schemas.openxmlformats.org/spreadsheetml/2006/main" count="204" uniqueCount="147">
  <si>
    <t xml:space="preserve">GRANDEZAS E SÍMBOLOS UTILIZADOS EM MATEMÁTICA FINANCEIRA</t>
  </si>
  <si>
    <t xml:space="preserve">i</t>
  </si>
  <si>
    <t xml:space="preserve">taxa de juros (letra "i" provém do termo em inglês: "interest rate")</t>
  </si>
  <si>
    <t xml:space="preserve">geralmente dada em percentual (ex.: 8%) acompanhada do período de tempo de incidência:</t>
  </si>
  <si>
    <t xml:space="preserve">a.a.</t>
  </si>
  <si>
    <t xml:space="preserve">ao ano</t>
  </si>
  <si>
    <t xml:space="preserve">a.m. </t>
  </si>
  <si>
    <t xml:space="preserve">ao mês</t>
  </si>
  <si>
    <t xml:space="preserve">a.d.</t>
  </si>
  <si>
    <t xml:space="preserve">ao dia</t>
  </si>
  <si>
    <t xml:space="preserve">FA</t>
  </si>
  <si>
    <t xml:space="preserve">fator de atualização = (1 + i)</t>
  </si>
  <si>
    <t xml:space="preserve">fator numérico que deve ser multiplicado a um valor para atualizá-lo segundo uma certa taxa (taxa de juros ou taxa de inflação)</t>
  </si>
  <si>
    <t xml:space="preserve">P</t>
  </si>
  <si>
    <t xml:space="preserve">valor presente: o valor no tempo zero na análise</t>
  </si>
  <si>
    <t xml:space="preserve">ou</t>
  </si>
  <si>
    <t xml:space="preserve">VP</t>
  </si>
  <si>
    <t xml:space="preserve">PV</t>
  </si>
  <si>
    <t xml:space="preserve">do inglês "present value"</t>
  </si>
  <si>
    <t xml:space="preserve">F</t>
  </si>
  <si>
    <t xml:space="preserve">valor futuro: o valor no final do período de tempo considerado na análise</t>
  </si>
  <si>
    <t xml:space="preserve">VF</t>
  </si>
  <si>
    <t xml:space="preserve">FV</t>
  </si>
  <si>
    <t xml:space="preserve">do inglês "future value"</t>
  </si>
  <si>
    <t xml:space="preserve">n</t>
  </si>
  <si>
    <t xml:space="preserve">duração de tempo da transação financeira (diário, mensal, semestral, anual etc.)</t>
  </si>
  <si>
    <t xml:space="preserve">nper</t>
  </si>
  <si>
    <t xml:space="preserve">a taxa de juros é aplicada neste determinado tempo</t>
  </si>
  <si>
    <t xml:space="preserve">J</t>
  </si>
  <si>
    <t xml:space="preserve">valor dos juros     = P*i</t>
  </si>
  <si>
    <t xml:space="preserve">Investimento com taxa de juros de 22%</t>
  </si>
  <si>
    <t xml:space="preserve">i_apar = </t>
  </si>
  <si>
    <t xml:space="preserve">fator de atualização</t>
  </si>
  <si>
    <t xml:space="preserve">FA_apar = </t>
  </si>
  <si>
    <t xml:space="preserve">inflação no mesmo período: 12%</t>
  </si>
  <si>
    <t xml:space="preserve">i_infl = </t>
  </si>
  <si>
    <t xml:space="preserve">FA_infl = </t>
  </si>
  <si>
    <t xml:space="preserve">valor investido:</t>
  </si>
  <si>
    <t xml:space="preserve">P = </t>
  </si>
  <si>
    <t xml:space="preserve">valor pago pelo investimento</t>
  </si>
  <si>
    <t xml:space="preserve">F(apar) = </t>
  </si>
  <si>
    <t xml:space="preserve">valor futuro com o mesmo poder de compra</t>
  </si>
  <si>
    <t xml:space="preserve">F(infl) = </t>
  </si>
  <si>
    <t xml:space="preserve">ganho real</t>
  </si>
  <si>
    <t xml:space="preserve">FA_apar/FA_infl = </t>
  </si>
  <si>
    <t xml:space="preserve">taxa de juro real</t>
  </si>
  <si>
    <t xml:space="preserve">i_real = </t>
  </si>
  <si>
    <t xml:space="preserve">&lt;&lt;&lt;&lt;&lt;</t>
  </si>
  <si>
    <t xml:space="preserve">[2]</t>
  </si>
  <si>
    <t xml:space="preserve">Um investimento tem taxa de juro pré-fixada de 6,56% para o próximo período de 1 ano. </t>
  </si>
  <si>
    <t xml:space="preserve">A previsão da inflação para este período é de 7,0%. Calcular a taxa de juro real.</t>
  </si>
  <si>
    <t xml:space="preserve">investimento</t>
  </si>
  <si>
    <t xml:space="preserve">inflação no mesmo período:</t>
  </si>
  <si>
    <t xml:space="preserve">[3]</t>
  </si>
  <si>
    <t xml:space="preserve">Um investimento promete pagar a taxa de variação do dólar mais uma taxa de juro pré-fixada de 5,0% para o próximo período de 1 ano. </t>
  </si>
  <si>
    <t xml:space="preserve">A cotação do dólar, no dia inicial da aplicação, era de R$5,22/US$, e no dia do vencimento, era de R$4,93/US$. </t>
  </si>
  <si>
    <t xml:space="preserve">Calcular o ganho real deste investimento.</t>
  </si>
  <si>
    <t xml:space="preserve">Valor investido:</t>
  </si>
  <si>
    <t xml:space="preserve">cotação em n = 0</t>
  </si>
  <si>
    <t xml:space="preserve">R$/US$</t>
  </si>
  <si>
    <t xml:space="preserve">cotação após 1 ano (n = 1)</t>
  </si>
  <si>
    <t xml:space="preserve">taxa de juro</t>
  </si>
  <si>
    <t xml:space="preserve">i_1 =</t>
  </si>
  <si>
    <t xml:space="preserve">(a) atualização do valor</t>
  </si>
  <si>
    <t xml:space="preserve">variação cambial</t>
  </si>
  <si>
    <t xml:space="preserve">i_2 =</t>
  </si>
  <si>
    <t xml:space="preserve">(1 + i_2) = </t>
  </si>
  <si>
    <t xml:space="preserve">valor investido atualizado: </t>
  </si>
  <si>
    <t xml:space="preserve">F1 = </t>
  </si>
  <si>
    <t xml:space="preserve">(b) montante final</t>
  </si>
  <si>
    <t xml:space="preserve">solução alternativa:</t>
  </si>
  <si>
    <t xml:space="preserve">juros:</t>
  </si>
  <si>
    <t xml:space="preserve">J = </t>
  </si>
  <si>
    <t xml:space="preserve">fator de atualização: (1+i_1)*(1+i_2)</t>
  </si>
  <si>
    <t xml:space="preserve">&gt;&gt;</t>
  </si>
  <si>
    <t xml:space="preserve">resultado:</t>
  </si>
  <si>
    <t xml:space="preserve">VF = </t>
  </si>
  <si>
    <t xml:space="preserve">Resultado:</t>
  </si>
  <si>
    <t xml:space="preserve">taxa real:</t>
  </si>
  <si>
    <t xml:space="preserve">[4]</t>
  </si>
  <si>
    <t xml:space="preserve">Um investimento tem um rendimento de 0,65%a.m.. Se fôr feito um investimento de R$10.000, e este investimento fôr resgatado</t>
  </si>
  <si>
    <t xml:space="preserve">9 meses após, qual será o valor total resgatado? Qual será o valor dos juros? </t>
  </si>
  <si>
    <t xml:space="preserve">taxa de juros: </t>
  </si>
  <si>
    <t xml:space="preserve">i = </t>
  </si>
  <si>
    <t xml:space="preserve">a.m.</t>
  </si>
  <si>
    <t xml:space="preserve">número de períodos</t>
  </si>
  <si>
    <t xml:space="preserve">n = </t>
  </si>
  <si>
    <t xml:space="preserve">meses</t>
  </si>
  <si>
    <t xml:space="preserve">valor a ser resgatado</t>
  </si>
  <si>
    <t xml:space="preserve">F = </t>
  </si>
  <si>
    <t xml:space="preserve">[5]</t>
  </si>
  <si>
    <t xml:space="preserve">A remuneração de um título tipo CDB é pré-fixada em 11%a.a.. Se fôr feito um investimento inicial de R$5.000, </t>
  </si>
  <si>
    <t xml:space="preserve">e este investimento fôr resgatado após 7 meses, qual será o valor resultante? Qual será o valor dos juros? </t>
  </si>
  <si>
    <t xml:space="preserve">taxa de juros equivalente</t>
  </si>
  <si>
    <t xml:space="preserve">i_eq = </t>
  </si>
  <si>
    <t xml:space="preserve">em 7 meses</t>
  </si>
  <si>
    <t xml:space="preserve">Sabendo-se que o imposto de renda para este tipo de aplicação é de 20%, qual será o valor líquido obtido? </t>
  </si>
  <si>
    <t xml:space="preserve">Qual seria, então, a taxa real (ou seja, o retorno efetivamente obtido pelo investidor)? </t>
  </si>
  <si>
    <t xml:space="preserve">imposto de renda:</t>
  </si>
  <si>
    <t xml:space="preserve">valor do imposto</t>
  </si>
  <si>
    <t xml:space="preserve">imp = </t>
  </si>
  <si>
    <t xml:space="preserve">&lt;&lt;&lt;&lt; incidente sobre os juros auferidos</t>
  </si>
  <si>
    <t xml:space="preserve">ganho líquido</t>
  </si>
  <si>
    <t xml:space="preserve">&gt;&gt; valor resgatado, debitado do imposto devido</t>
  </si>
  <si>
    <t xml:space="preserve">F/P = </t>
  </si>
  <si>
    <t xml:space="preserve">taxa real</t>
  </si>
  <si>
    <t xml:space="preserve">&gt;&gt; menor do que a taxa nominal</t>
  </si>
  <si>
    <t xml:space="preserve">Se a inflação no período foi de 3%, qual a taxa real resultante? </t>
  </si>
  <si>
    <t xml:space="preserve">taxa real após IR</t>
  </si>
  <si>
    <t xml:space="preserve">inflação no período</t>
  </si>
  <si>
    <t xml:space="preserve">&gt;&gt; em 7 meses</t>
  </si>
  <si>
    <t xml:space="preserve">&gt;&gt; esta é a taxa aparente</t>
  </si>
  <si>
    <t xml:space="preserve">taxa real, desc. inflação</t>
  </si>
  <si>
    <t xml:space="preserve">&gt;&gt; taxa real anual equivalente</t>
  </si>
  <si>
    <t xml:space="preserve">LISTA DE EXERCÍCIOS</t>
  </si>
  <si>
    <t xml:space="preserve">[1]</t>
  </si>
  <si>
    <t xml:space="preserve">Uma aplicação financeira tem taxa de juro pré-fixada de 6% para o próximo período de 1 ano. </t>
  </si>
  <si>
    <t xml:space="preserve">Para utilizar a aplicação, é necessário pagar uma tarifa de adesão de 1% do valor aplicado, mais R$4,90. </t>
  </si>
  <si>
    <t xml:space="preserve">Qual a taxa de juros real desta aplicação, para um investimento de R$1.000? </t>
  </si>
  <si>
    <t xml:space="preserve">Um investimento tem taxa de juro pré-fixada de 6,12% para o próximo período de 1 ano. </t>
  </si>
  <si>
    <t xml:space="preserve">A previsão da inflação para este período é de 7,5%. Calcular a taxa de juro real.</t>
  </si>
  <si>
    <t xml:space="preserve">Um investimento promete pagar, em um ano, R$1.057,25 para um depósito inicial de R$1 mil. </t>
  </si>
  <si>
    <t xml:space="preserve">A previsão da inflação para este período é de 8,5%. Calcular a taxa de juro prevista pelo investimento,</t>
  </si>
  <si>
    <t xml:space="preserve">e a taxa de juro real. </t>
  </si>
  <si>
    <t xml:space="preserve">Uma mercadoria vale R$100 no momento presente. Se a taxa de inflação média projetada para os próximos 6 meses</t>
  </si>
  <si>
    <t xml:space="preserve">é de 1,2%a.m., qual deverá ser o valor desta mercadoria após este período, se o seu preço fôr remarcado de acordo</t>
  </si>
  <si>
    <t xml:space="preserve">com esta previsão de inflação? </t>
  </si>
  <si>
    <t xml:space="preserve">Um comerciante compra um produto e o coloca à venda aplicando 30% sobre o preço de custo. </t>
  </si>
  <si>
    <t xml:space="preserve">Depois, ele o anuncia com desconto de 10% para pagamento à vista.</t>
  </si>
  <si>
    <t xml:space="preserve">Determine a porcentagem de lucro que o comerciante está obtendo na venda à vista desse produto.</t>
  </si>
  <si>
    <t xml:space="preserve">[6]</t>
  </si>
  <si>
    <t xml:space="preserve">Um produto cujo preço era R$220 teve dois aumentos sucessivos de 15% e 20%, respectivamente. </t>
  </si>
  <si>
    <t xml:space="preserve">Em seguida, o valor resultante teve um desconto percentual igual a x, apresentando um preço final y. </t>
  </si>
  <si>
    <t xml:space="preserve">(a) calcule y se x = 10%</t>
  </si>
  <si>
    <t xml:space="preserve">(b) calcule o valor máximo de x para que y não seja inferior ao preço original</t>
  </si>
  <si>
    <t xml:space="preserve">[7]</t>
  </si>
  <si>
    <t xml:space="preserve">A cotação do dólar, no dia inicial da aplicação, era de R$5,12/US$, e no dia do vencimento, era de R$4,97/US$. </t>
  </si>
  <si>
    <t xml:space="preserve">[8]</t>
  </si>
  <si>
    <t xml:space="preserve">Um investimento promete pagar juros de 0,5%a.m.. Se fôr feito um investimento de R$5.000, e este investimento fôr resgatado</t>
  </si>
  <si>
    <t xml:space="preserve">7 meses após, qual será o valor total resgatado? Qual será o valor dos juros? </t>
  </si>
  <si>
    <t xml:space="preserve">[9]</t>
  </si>
  <si>
    <t xml:space="preserve">A remuneração de um título do tesouro é pré-fixada em 9,25%a.a.. Se fôr feito um investimento de R$2.500, mas fôr necessário</t>
  </si>
  <si>
    <t xml:space="preserve">resgatar este investimento 9 meses após, qual será o valor total resgatado? Qual será o valor dos juros? </t>
  </si>
  <si>
    <t xml:space="preserve">[10]</t>
  </si>
  <si>
    <t xml:space="preserve">Na questão [9], sabendo-se que o imposto de renda para este tipo de aplicação é de 15%, qual será o valor líquido obtido? </t>
  </si>
  <si>
    <t xml:space="preserve">[11]</t>
  </si>
  <si>
    <t xml:space="preserve">Considerando ainda as questões [9] e [10], sabendo-se que a inflação no período foi de 3,5%, qual a taxa real resultante? 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</si>
</sst>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%"/>
    <numFmt numFmtId="166" formatCode="0.00%"/>
    <numFmt numFmtId="167" formatCode="@"/>
    <numFmt numFmtId="168" formatCode="0.000%"/>
    <numFmt numFmtId="169" formatCode="#,##0.00"/>
    <numFmt numFmtId="170" formatCode="0.0000"/>
    <numFmt numFmtId="171" formatCode="0.000"/>
    <numFmt numFmtId="172" formatCode="0.0%"/>
    <numFmt numFmtId="173" formatCode="0.00"/>
    <numFmt numFmtId="174" formatCode="0"/>
    <numFmt numFmtId="175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237960</xdr:colOff>
      <xdr:row>8</xdr:row>
      <xdr:rowOff>115560</xdr:rowOff>
    </xdr:from>
    <xdr:to>
      <xdr:col>7</xdr:col>
      <xdr:colOff>570960</xdr:colOff>
      <xdr:row>12</xdr:row>
      <xdr:rowOff>10800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5352120" y="1410840"/>
          <a:ext cx="2226240" cy="543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224640</xdr:colOff>
      <xdr:row>6</xdr:row>
      <xdr:rowOff>33840</xdr:rowOff>
    </xdr:from>
    <xdr:to>
      <xdr:col>7</xdr:col>
      <xdr:colOff>557640</xdr:colOff>
      <xdr:row>9</xdr:row>
      <xdr:rowOff>24480</xdr:rowOff>
    </xdr:to>
    <xdr:pic>
      <xdr:nvPicPr>
        <xdr:cNvPr id="1" name="Imagem 1" descr=""/>
        <xdr:cNvPicPr/>
      </xdr:nvPicPr>
      <xdr:blipFill>
        <a:blip r:embed="rId1"/>
        <a:stretch/>
      </xdr:blipFill>
      <xdr:spPr>
        <a:xfrm>
          <a:off x="4312800" y="1005480"/>
          <a:ext cx="2225880" cy="542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224640</xdr:colOff>
      <xdr:row>7</xdr:row>
      <xdr:rowOff>68040</xdr:rowOff>
    </xdr:from>
    <xdr:to>
      <xdr:col>7</xdr:col>
      <xdr:colOff>532800</xdr:colOff>
      <xdr:row>9</xdr:row>
      <xdr:rowOff>122040</xdr:rowOff>
    </xdr:to>
    <xdr:pic>
      <xdr:nvPicPr>
        <xdr:cNvPr id="2" name="Imagem 1" descr=""/>
        <xdr:cNvPicPr/>
      </xdr:nvPicPr>
      <xdr:blipFill>
        <a:blip r:embed="rId1"/>
        <a:stretch/>
      </xdr:blipFill>
      <xdr:spPr>
        <a:xfrm>
          <a:off x="4045320" y="1201680"/>
          <a:ext cx="1531440" cy="377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448920</xdr:colOff>
      <xdr:row>6</xdr:row>
      <xdr:rowOff>81720</xdr:rowOff>
    </xdr:from>
    <xdr:to>
      <xdr:col>11</xdr:col>
      <xdr:colOff>532440</xdr:colOff>
      <xdr:row>10</xdr:row>
      <xdr:rowOff>1080</xdr:rowOff>
    </xdr:to>
    <xdr:pic>
      <xdr:nvPicPr>
        <xdr:cNvPr id="3" name="Imagem 3" descr=""/>
        <xdr:cNvPicPr/>
      </xdr:nvPicPr>
      <xdr:blipFill>
        <a:blip r:embed="rId1"/>
        <a:stretch/>
      </xdr:blipFill>
      <xdr:spPr>
        <a:xfrm>
          <a:off x="5409720" y="1053360"/>
          <a:ext cx="2529360" cy="5670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5</xdr:col>
      <xdr:colOff>455760</xdr:colOff>
      <xdr:row>8</xdr:row>
      <xdr:rowOff>74520</xdr:rowOff>
    </xdr:from>
    <xdr:to>
      <xdr:col>7</xdr:col>
      <xdr:colOff>210600</xdr:colOff>
      <xdr:row>8</xdr:row>
      <xdr:rowOff>78120</xdr:rowOff>
    </xdr:to>
    <xdr:cxnSp>
      <xdr:nvCxnSpPr>
        <xdr:cNvPr id="4" name="Conector de Seta Reta 4"/>
        <xdr:cNvCxnSpPr/>
      </xdr:nvCxnSpPr>
      <xdr:spPr>
        <a:xfrm>
          <a:off x="4193280" y="1369800"/>
          <a:ext cx="978480" cy="3960"/>
        </a:xfrm>
        <a:prstGeom prst="straightConnector1">
          <a:avLst/>
        </a:prstGeom>
        <a:ln w="12700">
          <a:solidFill>
            <a:srgbClr val="000000"/>
          </a:solidFill>
          <a:round/>
          <a:headEnd len="med" type="triangle" w="med"/>
        </a:ln>
      </xdr:spPr>
    </xdr:cxnSp>
    <xdr:clientData/>
  </xdr:twoCellAnchor>
  <xdr:twoCellAnchor editAs="oneCell">
    <xdr:from>
      <xdr:col>9</xdr:col>
      <xdr:colOff>408240</xdr:colOff>
      <xdr:row>20</xdr:row>
      <xdr:rowOff>108720</xdr:rowOff>
    </xdr:from>
    <xdr:to>
      <xdr:col>11</xdr:col>
      <xdr:colOff>604800</xdr:colOff>
      <xdr:row>24</xdr:row>
      <xdr:rowOff>87840</xdr:rowOff>
    </xdr:to>
    <xdr:pic>
      <xdr:nvPicPr>
        <xdr:cNvPr id="5" name="Imagem 1" descr=""/>
        <xdr:cNvPicPr/>
      </xdr:nvPicPr>
      <xdr:blipFill>
        <a:blip r:embed="rId2"/>
        <a:stretch/>
      </xdr:blipFill>
      <xdr:spPr>
        <a:xfrm>
          <a:off x="6591960" y="3347280"/>
          <a:ext cx="1419480" cy="626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7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18" activeCellId="0" sqref="F18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6.85"/>
    <col collapsed="false" customWidth="true" hidden="false" outlineLevel="0" max="3" min="3" style="1" width="9.42"/>
    <col collapsed="false" customWidth="false" hidden="false" outlineLevel="0" max="16384" min="4" style="1" width="9.14"/>
  </cols>
  <sheetData>
    <row r="2" customFormat="false" ht="12.7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4" customFormat="false" ht="12.75" hidden="false" customHeight="false" outlineLevel="0" collapsed="false">
      <c r="B4" s="1" t="s">
        <v>1</v>
      </c>
      <c r="C4" s="1" t="s">
        <v>2</v>
      </c>
      <c r="D4" s="3"/>
      <c r="E4" s="4"/>
    </row>
    <row r="5" customFormat="false" ht="12.75" hidden="false" customHeight="false" outlineLevel="0" collapsed="false">
      <c r="C5" s="1" t="s">
        <v>3</v>
      </c>
      <c r="D5" s="3"/>
      <c r="E5" s="4"/>
    </row>
    <row r="6" customFormat="false" ht="12.75" hidden="false" customHeight="false" outlineLevel="0" collapsed="false">
      <c r="C6" s="1" t="s">
        <v>4</v>
      </c>
      <c r="D6" s="3" t="s">
        <v>5</v>
      </c>
      <c r="E6" s="4"/>
    </row>
    <row r="7" customFormat="false" ht="12.75" hidden="false" customHeight="false" outlineLevel="0" collapsed="false">
      <c r="C7" s="1" t="s">
        <v>6</v>
      </c>
      <c r="D7" s="3" t="s">
        <v>7</v>
      </c>
      <c r="E7" s="4"/>
    </row>
    <row r="8" customFormat="false" ht="12.75" hidden="false" customHeight="false" outlineLevel="0" collapsed="false">
      <c r="C8" s="1" t="s">
        <v>8</v>
      </c>
      <c r="D8" s="3" t="s">
        <v>9</v>
      </c>
      <c r="E8" s="4"/>
    </row>
    <row r="9" customFormat="false" ht="12.75" hidden="false" customHeight="false" outlineLevel="0" collapsed="false">
      <c r="D9" s="3"/>
      <c r="E9" s="4"/>
    </row>
    <row r="10" customFormat="false" ht="12.75" hidden="false" customHeight="false" outlineLevel="0" collapsed="false">
      <c r="B10" s="1" t="s">
        <v>10</v>
      </c>
      <c r="C10" s="1" t="s">
        <v>11</v>
      </c>
      <c r="D10" s="3"/>
      <c r="E10" s="4"/>
    </row>
    <row r="11" customFormat="false" ht="12.75" hidden="false" customHeight="false" outlineLevel="0" collapsed="false">
      <c r="C11" s="1" t="s">
        <v>12</v>
      </c>
      <c r="D11" s="3"/>
      <c r="E11" s="4"/>
    </row>
    <row r="12" customFormat="false" ht="12.75" hidden="false" customHeight="false" outlineLevel="0" collapsed="false">
      <c r="E12" s="5"/>
    </row>
    <row r="13" customFormat="false" ht="12.75" hidden="false" customHeight="false" outlineLevel="0" collapsed="false">
      <c r="B13" s="1" t="s">
        <v>13</v>
      </c>
      <c r="C13" s="1" t="s">
        <v>14</v>
      </c>
    </row>
    <row r="14" customFormat="false" ht="12.75" hidden="false" customHeight="false" outlineLevel="0" collapsed="false">
      <c r="A14" s="1" t="s">
        <v>15</v>
      </c>
      <c r="B14" s="1" t="s">
        <v>16</v>
      </c>
    </row>
    <row r="15" customFormat="false" ht="12.75" hidden="false" customHeight="false" outlineLevel="0" collapsed="false">
      <c r="A15" s="1" t="s">
        <v>15</v>
      </c>
      <c r="B15" s="1" t="s">
        <v>17</v>
      </c>
      <c r="C15" s="1" t="s">
        <v>18</v>
      </c>
    </row>
    <row r="17" customFormat="false" ht="12.75" hidden="false" customHeight="false" outlineLevel="0" collapsed="false">
      <c r="B17" s="1" t="s">
        <v>19</v>
      </c>
      <c r="C17" s="1" t="s">
        <v>20</v>
      </c>
    </row>
    <row r="18" customFormat="false" ht="12.75" hidden="false" customHeight="false" outlineLevel="0" collapsed="false">
      <c r="A18" s="1" t="s">
        <v>15</v>
      </c>
      <c r="B18" s="1" t="s">
        <v>21</v>
      </c>
    </row>
    <row r="19" customFormat="false" ht="12.75" hidden="false" customHeight="false" outlineLevel="0" collapsed="false">
      <c r="A19" s="1" t="s">
        <v>15</v>
      </c>
      <c r="B19" s="1" t="s">
        <v>22</v>
      </c>
      <c r="C19" s="1" t="s">
        <v>23</v>
      </c>
    </row>
    <row r="21" customFormat="false" ht="12.75" hidden="false" customHeight="false" outlineLevel="0" collapsed="false">
      <c r="B21" s="1" t="s">
        <v>24</v>
      </c>
      <c r="C21" s="1" t="s">
        <v>25</v>
      </c>
    </row>
    <row r="22" customFormat="false" ht="12.75" hidden="false" customHeight="false" outlineLevel="0" collapsed="false">
      <c r="A22" s="1" t="s">
        <v>15</v>
      </c>
      <c r="B22" s="1" t="s">
        <v>26</v>
      </c>
      <c r="C22" s="1" t="s">
        <v>27</v>
      </c>
    </row>
    <row r="24" customFormat="false" ht="12.75" hidden="false" customHeight="false" outlineLevel="0" collapsed="false">
      <c r="B24" s="1" t="s">
        <v>28</v>
      </c>
      <c r="C24" s="1" t="s">
        <v>29</v>
      </c>
      <c r="D24" s="3"/>
    </row>
    <row r="27" customFormat="false" ht="12.75" hidden="false" customHeight="false" outlineLevel="0" collapsed="false">
      <c r="D27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1" width="39.42"/>
    <col collapsed="false" customWidth="true" hidden="false" outlineLevel="0" max="3" min="3" style="1" width="16.71"/>
    <col collapsed="false" customWidth="true" hidden="false" outlineLevel="0" max="4" min="4" style="1" width="7.71"/>
    <col collapsed="false" customWidth="true" hidden="false" outlineLevel="0" max="5" min="5" style="1" width="5"/>
    <col collapsed="false" customWidth="true" hidden="false" outlineLevel="0" max="6" min="6" style="1" width="17.71"/>
    <col collapsed="false" customWidth="false" hidden="false" outlineLevel="0" max="16384" min="7" style="1" width="9.14"/>
  </cols>
  <sheetData>
    <row r="2" customFormat="false" ht="12.75" hidden="false" customHeight="false" outlineLevel="0" collapsed="false">
      <c r="B2" s="1" t="s">
        <v>30</v>
      </c>
      <c r="C2" s="1" t="s">
        <v>31</v>
      </c>
      <c r="D2" s="3" t="n">
        <v>0.22</v>
      </c>
      <c r="F2" s="4" t="s">
        <v>32</v>
      </c>
      <c r="G2" s="1" t="s">
        <v>33</v>
      </c>
      <c r="H2" s="1" t="n">
        <f aca="false">1+D2</f>
        <v>1.22</v>
      </c>
    </row>
    <row r="3" customFormat="false" ht="12.75" hidden="false" customHeight="false" outlineLevel="0" collapsed="false">
      <c r="B3" s="1" t="s">
        <v>34</v>
      </c>
      <c r="C3" s="1" t="s">
        <v>35</v>
      </c>
      <c r="D3" s="3" t="n">
        <v>0.12</v>
      </c>
      <c r="G3" s="1" t="s">
        <v>36</v>
      </c>
      <c r="H3" s="1" t="n">
        <f aca="false">1+D3</f>
        <v>1.12</v>
      </c>
    </row>
    <row r="5" customFormat="false" ht="12.75" hidden="false" customHeight="false" outlineLevel="0" collapsed="false">
      <c r="B5" s="1" t="s">
        <v>37</v>
      </c>
      <c r="C5" s="1" t="s">
        <v>38</v>
      </c>
      <c r="D5" s="7" t="n">
        <v>100</v>
      </c>
    </row>
    <row r="7" customFormat="false" ht="12.75" hidden="false" customHeight="false" outlineLevel="0" collapsed="false">
      <c r="B7" s="1" t="s">
        <v>39</v>
      </c>
      <c r="C7" s="1" t="s">
        <v>40</v>
      </c>
      <c r="D7" s="7" t="n">
        <f aca="false">D5*H2</f>
        <v>122</v>
      </c>
    </row>
    <row r="8" customFormat="false" ht="12.75" hidden="false" customHeight="false" outlineLevel="0" collapsed="false">
      <c r="B8" s="1" t="s">
        <v>41</v>
      </c>
      <c r="C8" s="1" t="s">
        <v>42</v>
      </c>
      <c r="D8" s="7" t="n">
        <f aca="false">D5*H3</f>
        <v>112</v>
      </c>
    </row>
    <row r="10" customFormat="false" ht="12.75" hidden="false" customHeight="false" outlineLevel="0" collapsed="false">
      <c r="B10" s="1" t="s">
        <v>43</v>
      </c>
      <c r="C10" s="1" t="s">
        <v>44</v>
      </c>
      <c r="D10" s="1" t="n">
        <f aca="false">H2/H3</f>
        <v>1.08928571428571</v>
      </c>
    </row>
    <row r="11" customFormat="false" ht="12.75" hidden="false" customHeight="false" outlineLevel="0" collapsed="false">
      <c r="B11" s="1" t="s">
        <v>45</v>
      </c>
      <c r="C11" s="1" t="s">
        <v>46</v>
      </c>
      <c r="D11" s="6" t="n">
        <f aca="false">D10-1</f>
        <v>0.0892857142857142</v>
      </c>
      <c r="E11" s="1" t="s">
        <v>47</v>
      </c>
    </row>
    <row r="12" customFormat="false" ht="12.75" hidden="false" customHeight="false" outlineLevel="0" collapsed="false">
      <c r="D12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1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7" activeCellId="0" sqref="D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33.14"/>
    <col collapsed="false" customWidth="true" hidden="false" outlineLevel="0" max="3" min="3" style="1" width="7.86"/>
    <col collapsed="false" customWidth="true" hidden="false" outlineLevel="0" max="4" min="4" style="1" width="8.86"/>
    <col collapsed="false" customWidth="true" hidden="false" outlineLevel="0" max="5" min="5" style="1" width="5"/>
    <col collapsed="false" customWidth="true" hidden="false" outlineLevel="0" max="6" min="6" style="1" width="17.71"/>
    <col collapsed="false" customWidth="false" hidden="false" outlineLevel="0" max="8" min="7" style="1" width="9.14"/>
    <col collapsed="false" customWidth="true" hidden="false" outlineLevel="0" max="9" min="9" style="1" width="5"/>
    <col collapsed="false" customWidth="true" hidden="false" outlineLevel="0" max="10" min="10" style="1" width="17.29"/>
    <col collapsed="false" customWidth="false" hidden="false" outlineLevel="0" max="16384" min="11" style="1" width="9.14"/>
  </cols>
  <sheetData>
    <row r="2" customFormat="false" ht="12.75" hidden="false" customHeight="false" outlineLevel="0" collapsed="false">
      <c r="A2" s="1" t="s">
        <v>48</v>
      </c>
      <c r="B2" s="1" t="s">
        <v>49</v>
      </c>
    </row>
    <row r="3" customFormat="false" ht="12.75" hidden="false" customHeight="false" outlineLevel="0" collapsed="false">
      <c r="B3" s="1" t="s">
        <v>50</v>
      </c>
    </row>
    <row r="5" customFormat="false" ht="12.75" hidden="false" customHeight="false" outlineLevel="0" collapsed="false">
      <c r="B5" s="1" t="s">
        <v>51</v>
      </c>
      <c r="C5" s="1" t="s">
        <v>31</v>
      </c>
      <c r="D5" s="8" t="n">
        <v>0.0656</v>
      </c>
      <c r="F5" s="4" t="s">
        <v>32</v>
      </c>
      <c r="G5" s="1" t="s">
        <v>33</v>
      </c>
      <c r="H5" s="1" t="n">
        <f aca="false">1+D5</f>
        <v>1.0656</v>
      </c>
      <c r="J5" s="1" t="s">
        <v>44</v>
      </c>
      <c r="K5" s="9" t="n">
        <f aca="false">H5/H6</f>
        <v>0.99588785046729</v>
      </c>
    </row>
    <row r="6" customFormat="false" ht="12.75" hidden="false" customHeight="false" outlineLevel="0" collapsed="false">
      <c r="B6" s="1" t="s">
        <v>52</v>
      </c>
      <c r="C6" s="1" t="s">
        <v>35</v>
      </c>
      <c r="D6" s="4" t="n">
        <v>0.07</v>
      </c>
      <c r="G6" s="1" t="s">
        <v>36</v>
      </c>
      <c r="H6" s="10" t="n">
        <f aca="false">1+D6</f>
        <v>1.07</v>
      </c>
    </row>
    <row r="7" customFormat="false" ht="18" hidden="false" customHeight="true" outlineLevel="0" collapsed="false"/>
    <row r="8" customFormat="false" ht="12.75" hidden="false" customHeight="false" outlineLevel="0" collapsed="false">
      <c r="B8" s="1" t="s">
        <v>45</v>
      </c>
      <c r="C8" s="2" t="s">
        <v>46</v>
      </c>
      <c r="D8" s="11" t="n">
        <f aca="false">K5-1</f>
        <v>-0.00411214953271022</v>
      </c>
      <c r="E8" s="1" t="s">
        <v>47</v>
      </c>
    </row>
    <row r="9" customFormat="false" ht="12.75" hidden="false" customHeight="false" outlineLevel="0" collapsed="false">
      <c r="D9" s="6"/>
    </row>
    <row r="11" customFormat="false" ht="12.75" hidden="false" customHeight="false" outlineLevel="0" collapsed="false">
      <c r="D11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22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3" activeCellId="0" sqref="A3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29"/>
    <col collapsed="false" customWidth="true" hidden="false" outlineLevel="0" max="3" min="3" style="1" width="10.14"/>
    <col collapsed="false" customWidth="true" hidden="false" outlineLevel="0" max="4" min="4" style="1" width="8.86"/>
    <col collapsed="false" customWidth="true" hidden="false" outlineLevel="0" max="5" min="5" style="1" width="5.86"/>
    <col collapsed="false" customWidth="true" hidden="false" outlineLevel="0" max="6" min="6" style="1" width="32"/>
    <col collapsed="false" customWidth="true" hidden="false" outlineLevel="0" max="7" min="7" style="1" width="7.15"/>
    <col collapsed="false" customWidth="true" hidden="false" outlineLevel="0" max="8" min="8" style="1" width="2.57"/>
    <col collapsed="false" customWidth="true" hidden="false" outlineLevel="0" max="9" min="9" style="1" width="6"/>
    <col collapsed="false" customWidth="true" hidden="false" outlineLevel="0" max="10" min="10" style="1" width="7.57"/>
    <col collapsed="false" customWidth="false" hidden="false" outlineLevel="0" max="16384" min="11" style="1" width="9.14"/>
  </cols>
  <sheetData>
    <row r="2" customFormat="false" ht="12.75" hidden="false" customHeight="false" outlineLevel="0" collapsed="false">
      <c r="A2" s="1" t="s">
        <v>53</v>
      </c>
      <c r="B2" s="1" t="s">
        <v>54</v>
      </c>
    </row>
    <row r="3" customFormat="false" ht="12.75" hidden="false" customHeight="false" outlineLevel="0" collapsed="false">
      <c r="B3" s="1" t="s">
        <v>55</v>
      </c>
    </row>
    <row r="4" customFormat="false" ht="12.75" hidden="false" customHeight="false" outlineLevel="0" collapsed="false">
      <c r="B4" s="1" t="s">
        <v>56</v>
      </c>
    </row>
    <row r="6" customFormat="false" ht="12.75" hidden="false" customHeight="false" outlineLevel="0" collapsed="false">
      <c r="B6" s="1" t="s">
        <v>57</v>
      </c>
      <c r="C6" s="1" t="s">
        <v>38</v>
      </c>
      <c r="D6" s="7" t="n">
        <v>1000</v>
      </c>
    </row>
    <row r="7" customFormat="false" ht="12.75" hidden="false" customHeight="false" outlineLevel="0" collapsed="false">
      <c r="B7" s="1" t="s">
        <v>58</v>
      </c>
      <c r="D7" s="1" t="n">
        <v>5.22</v>
      </c>
      <c r="E7" s="1" t="s">
        <v>59</v>
      </c>
    </row>
    <row r="8" customFormat="false" ht="12.75" hidden="false" customHeight="false" outlineLevel="0" collapsed="false">
      <c r="B8" s="1" t="s">
        <v>60</v>
      </c>
      <c r="D8" s="1" t="n">
        <v>4.93</v>
      </c>
      <c r="E8" s="1" t="s">
        <v>59</v>
      </c>
    </row>
    <row r="9" customFormat="false" ht="12.75" hidden="false" customHeight="false" outlineLevel="0" collapsed="false">
      <c r="B9" s="1" t="s">
        <v>61</v>
      </c>
      <c r="C9" s="1" t="s">
        <v>62</v>
      </c>
      <c r="D9" s="12" t="n">
        <v>0.05</v>
      </c>
      <c r="E9" s="1" t="s">
        <v>4</v>
      </c>
    </row>
    <row r="10" customFormat="false" ht="12.75" hidden="false" customHeight="false" outlineLevel="0" collapsed="false">
      <c r="L10" s="13"/>
      <c r="M10" s="14"/>
      <c r="N10" s="13"/>
      <c r="O10" s="13"/>
      <c r="P10" s="14"/>
    </row>
    <row r="11" customFormat="false" ht="12.75" hidden="false" customHeight="false" outlineLevel="0" collapsed="false">
      <c r="B11" s="1" t="s">
        <v>63</v>
      </c>
      <c r="L11" s="13"/>
      <c r="M11" s="14"/>
      <c r="N11" s="13"/>
      <c r="O11" s="13"/>
      <c r="P11" s="14"/>
    </row>
    <row r="12" customFormat="false" ht="12.75" hidden="false" customHeight="false" outlineLevel="0" collapsed="false">
      <c r="B12" s="1" t="s">
        <v>64</v>
      </c>
      <c r="C12" s="1" t="s">
        <v>65</v>
      </c>
      <c r="D12" s="4" t="n">
        <f aca="false">D8/D7-1</f>
        <v>-0.0555555555555556</v>
      </c>
      <c r="F12" s="15"/>
      <c r="G12" s="13"/>
      <c r="H12" s="13"/>
      <c r="I12" s="13"/>
      <c r="J12" s="13"/>
    </row>
    <row r="13" customFormat="false" ht="12.75" hidden="false" customHeight="false" outlineLevel="0" collapsed="false">
      <c r="B13" s="1" t="s">
        <v>32</v>
      </c>
      <c r="C13" s="1" t="s">
        <v>66</v>
      </c>
      <c r="D13" s="4" t="n">
        <f aca="false">1+D12</f>
        <v>0.944444444444444</v>
      </c>
      <c r="F13" s="13"/>
      <c r="G13" s="13"/>
      <c r="H13" s="13"/>
      <c r="I13" s="13"/>
      <c r="J13" s="13"/>
    </row>
    <row r="14" customFormat="false" ht="12.75" hidden="false" customHeight="false" outlineLevel="0" collapsed="false">
      <c r="B14" s="1" t="s">
        <v>67</v>
      </c>
      <c r="C14" s="1" t="s">
        <v>68</v>
      </c>
      <c r="D14" s="7" t="n">
        <f aca="false">D6*D13</f>
        <v>944.444444444445</v>
      </c>
      <c r="F14" s="13"/>
      <c r="G14" s="13"/>
      <c r="H14" s="13"/>
      <c r="I14" s="13"/>
      <c r="J14" s="14"/>
    </row>
    <row r="16" customFormat="false" ht="12.75" hidden="false" customHeight="false" outlineLevel="0" collapsed="false">
      <c r="B16" s="1" t="s">
        <v>69</v>
      </c>
      <c r="D16" s="16"/>
      <c r="F16" s="1" t="s">
        <v>70</v>
      </c>
    </row>
    <row r="17" customFormat="false" ht="12.75" hidden="false" customHeight="false" outlineLevel="0" collapsed="false">
      <c r="B17" s="1" t="s">
        <v>71</v>
      </c>
      <c r="C17" s="1" t="s">
        <v>72</v>
      </c>
      <c r="D17" s="16" t="n">
        <f aca="false">D14*D9</f>
        <v>47.2222222222222</v>
      </c>
      <c r="F17" s="1" t="s">
        <v>73</v>
      </c>
      <c r="G17" s="9" t="n">
        <f aca="false">(1+D12)*(1+D9)</f>
        <v>0.991666666666667</v>
      </c>
      <c r="I17" s="17" t="s">
        <v>74</v>
      </c>
      <c r="J17" s="1" t="s">
        <v>46</v>
      </c>
      <c r="K17" s="6" t="n">
        <f aca="false">G17-1</f>
        <v>-0.0083333333333333</v>
      </c>
    </row>
    <row r="18" customFormat="false" ht="12.75" hidden="false" customHeight="false" outlineLevel="0" collapsed="false">
      <c r="B18" s="1" t="s">
        <v>75</v>
      </c>
      <c r="C18" s="1" t="s">
        <v>76</v>
      </c>
      <c r="D18" s="7" t="n">
        <f aca="false">D14+D17</f>
        <v>991.666666666667</v>
      </c>
      <c r="F18" s="1" t="s">
        <v>77</v>
      </c>
      <c r="G18" s="1" t="n">
        <f aca="false">G17*D6</f>
        <v>991.666666666667</v>
      </c>
    </row>
    <row r="19" customFormat="false" ht="12.75" hidden="false" customHeight="false" outlineLevel="0" collapsed="false">
      <c r="B19" s="1" t="s">
        <v>78</v>
      </c>
      <c r="C19" s="2" t="s">
        <v>46</v>
      </c>
      <c r="D19" s="18" t="n">
        <f aca="false">D18/D6-1</f>
        <v>-0.0083333333333333</v>
      </c>
    </row>
    <row r="21" customFormat="false" ht="12.75" hidden="false" customHeight="false" outlineLevel="0" collapsed="false">
      <c r="D21" s="16"/>
    </row>
    <row r="22" customFormat="false" ht="12.75" hidden="false" customHeight="false" outlineLevel="0" collapsed="false">
      <c r="D22" s="1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0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0" activeCellId="0" sqref="D10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23.86"/>
    <col collapsed="false" customWidth="true" hidden="false" outlineLevel="0" max="4" min="4" style="0" width="9.86"/>
  </cols>
  <sheetData>
    <row r="2" customFormat="false" ht="12.75" hidden="false" customHeight="false" outlineLevel="0" collapsed="false">
      <c r="A2" s="1" t="s">
        <v>79</v>
      </c>
      <c r="B2" s="1" t="s">
        <v>80</v>
      </c>
      <c r="C2" s="1"/>
    </row>
    <row r="3" customFormat="false" ht="12.75" hidden="false" customHeight="false" outlineLevel="0" collapsed="false">
      <c r="A3" s="1"/>
      <c r="B3" s="1" t="s">
        <v>81</v>
      </c>
      <c r="C3" s="1"/>
    </row>
    <row r="5" customFormat="false" ht="12.75" hidden="false" customHeight="false" outlineLevel="0" collapsed="false">
      <c r="B5" s="1" t="s">
        <v>82</v>
      </c>
      <c r="C5" s="1" t="s">
        <v>83</v>
      </c>
      <c r="D5" s="4" t="n">
        <v>0.0065</v>
      </c>
      <c r="E5" s="1" t="s">
        <v>84</v>
      </c>
      <c r="F5" s="1"/>
      <c r="G5" s="1"/>
    </row>
    <row r="6" customFormat="false" ht="12.75" hidden="false" customHeight="false" outlineLevel="0" collapsed="false">
      <c r="B6" s="1" t="s">
        <v>37</v>
      </c>
      <c r="C6" s="1" t="s">
        <v>38</v>
      </c>
      <c r="D6" s="7" t="n">
        <v>10000</v>
      </c>
      <c r="E6" s="1"/>
      <c r="F6" s="19"/>
      <c r="G6" s="1"/>
    </row>
    <row r="7" customFormat="false" ht="12.75" hidden="false" customHeight="false" outlineLevel="0" collapsed="false">
      <c r="B7" s="1" t="s">
        <v>85</v>
      </c>
      <c r="C7" s="1" t="s">
        <v>86</v>
      </c>
      <c r="D7" s="20" t="n">
        <v>9</v>
      </c>
      <c r="E7" s="1" t="s">
        <v>87</v>
      </c>
      <c r="F7" s="19"/>
      <c r="G7" s="1"/>
    </row>
    <row r="8" customFormat="false" ht="12.75" hidden="false" customHeight="false" outlineLevel="0" collapsed="false">
      <c r="B8" s="1"/>
      <c r="C8" s="1"/>
      <c r="D8" s="7"/>
      <c r="E8" s="1"/>
      <c r="F8" s="1"/>
      <c r="G8" s="1"/>
    </row>
    <row r="9" customFormat="false" ht="12.75" hidden="false" customHeight="false" outlineLevel="0" collapsed="false">
      <c r="B9" s="1" t="s">
        <v>88</v>
      </c>
      <c r="C9" s="1" t="s">
        <v>89</v>
      </c>
      <c r="D9" s="21" t="n">
        <f aca="false">D6*(1+D5)^D7</f>
        <v>10600.4429488619</v>
      </c>
      <c r="E9" s="1"/>
      <c r="F9" s="1"/>
      <c r="G9" s="1"/>
    </row>
    <row r="10" customFormat="false" ht="12.75" hidden="false" customHeight="false" outlineLevel="0" collapsed="false">
      <c r="B10" s="1" t="s">
        <v>71</v>
      </c>
      <c r="C10" s="1" t="s">
        <v>72</v>
      </c>
      <c r="D10" s="21" t="n">
        <f aca="false">D9-D6</f>
        <v>600.442948861932</v>
      </c>
      <c r="E10" s="1"/>
      <c r="F10" s="1"/>
      <c r="G10" s="1"/>
    </row>
    <row r="11" customFormat="false" ht="12.75" hidden="false" customHeight="false" outlineLevel="0" collapsed="false">
      <c r="B11" s="1"/>
      <c r="C11" s="1"/>
      <c r="D11" s="1"/>
      <c r="E11" s="1"/>
      <c r="F11" s="1"/>
      <c r="G11" s="1"/>
    </row>
    <row r="12" customFormat="false" ht="12.75" hidden="false" customHeight="false" outlineLevel="0" collapsed="false">
      <c r="E12" s="1"/>
      <c r="F12" s="1"/>
      <c r="G12" s="1"/>
    </row>
    <row r="13" customFormat="false" ht="12.75" hidden="false" customHeight="false" outlineLevel="0" collapsed="false">
      <c r="B13" s="1"/>
      <c r="C13" s="1"/>
      <c r="D13" s="1"/>
      <c r="E13" s="1"/>
      <c r="F13" s="1"/>
      <c r="G13" s="1"/>
    </row>
    <row r="14" customFormat="false" ht="12.75" hidden="false" customHeight="false" outlineLevel="0" collapsed="false">
      <c r="B14" s="1"/>
      <c r="C14" s="1"/>
      <c r="D14" s="1"/>
      <c r="E14" s="1"/>
      <c r="F14" s="1"/>
      <c r="G14" s="1"/>
    </row>
    <row r="15" customFormat="false" ht="12.75" hidden="false" customHeight="false" outlineLevel="0" collapsed="false">
      <c r="B15" s="1"/>
      <c r="C15" s="1"/>
      <c r="D15" s="1"/>
      <c r="E15" s="1"/>
      <c r="F15" s="1"/>
      <c r="G15" s="1"/>
    </row>
    <row r="16" customFormat="false" ht="12.75" hidden="false" customHeight="false" outlineLevel="0" collapsed="false">
      <c r="B16" s="1"/>
      <c r="C16" s="1"/>
      <c r="D16" s="1"/>
      <c r="E16" s="1"/>
      <c r="F16" s="1"/>
      <c r="G16" s="1"/>
    </row>
    <row r="17" customFormat="false" ht="12.75" hidden="false" customHeight="false" outlineLevel="0" collapsed="false">
      <c r="B17" s="1"/>
      <c r="C17" s="1"/>
      <c r="D17" s="1"/>
      <c r="E17" s="1"/>
      <c r="F17" s="1"/>
      <c r="G17" s="1"/>
    </row>
    <row r="18" customFormat="false" ht="12.75" hidden="false" customHeight="false" outlineLevel="0" collapsed="false">
      <c r="B18" s="1"/>
      <c r="C18" s="1"/>
      <c r="D18" s="1"/>
      <c r="E18" s="1"/>
      <c r="F18" s="1"/>
      <c r="G18" s="1"/>
    </row>
    <row r="19" customFormat="false" ht="12.75" hidden="false" customHeight="false" outlineLevel="0" collapsed="false">
      <c r="B19" s="1"/>
      <c r="C19" s="1"/>
      <c r="D19" s="1"/>
      <c r="E19" s="1"/>
      <c r="F19" s="1"/>
      <c r="G19" s="1"/>
    </row>
    <row r="20" customFormat="false" ht="12.75" hidden="false" customHeight="false" outlineLevel="0" collapsed="false">
      <c r="B20" s="1"/>
      <c r="C20" s="1"/>
      <c r="D20" s="1"/>
      <c r="E20" s="1"/>
      <c r="F20" s="1"/>
      <c r="G20" s="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7"/>
  <sheetViews>
    <sheetView showFormulas="false" showGridLines="false" showRowColHeaders="true" showZeros="true" rightToLeft="false" tabSelected="false" showOutlineSymbols="true" defaultGridColor="true" view="normal" topLeftCell="A26" colorId="64" zoomScale="140" zoomScaleNormal="140" zoomScalePageLayoutView="100" workbookViewId="0">
      <selection pane="topLeft" activeCell="D40" activeCellId="0" sqref="D40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23.86"/>
  </cols>
  <sheetData>
    <row r="2" customFormat="false" ht="12.75" hidden="false" customHeight="false" outlineLevel="0" collapsed="false">
      <c r="A2" s="1" t="s">
        <v>90</v>
      </c>
      <c r="B2" s="1" t="s">
        <v>91</v>
      </c>
      <c r="C2" s="1"/>
    </row>
    <row r="3" customFormat="false" ht="12.75" hidden="false" customHeight="false" outlineLevel="0" collapsed="false">
      <c r="A3" s="1"/>
      <c r="B3" s="1" t="s">
        <v>92</v>
      </c>
      <c r="C3" s="1"/>
    </row>
    <row r="5" customFormat="false" ht="12.75" hidden="false" customHeight="false" outlineLevel="0" collapsed="false">
      <c r="B5" s="1" t="s">
        <v>82</v>
      </c>
      <c r="C5" s="1" t="s">
        <v>83</v>
      </c>
      <c r="D5" s="4" t="n">
        <v>0.11</v>
      </c>
      <c r="E5" s="1" t="s">
        <v>4</v>
      </c>
      <c r="F5" s="1"/>
      <c r="G5" s="1"/>
    </row>
    <row r="6" customFormat="false" ht="12.75" hidden="false" customHeight="false" outlineLevel="0" collapsed="false">
      <c r="B6" s="1" t="s">
        <v>37</v>
      </c>
      <c r="C6" s="1" t="s">
        <v>38</v>
      </c>
      <c r="D6" s="7" t="n">
        <v>5000</v>
      </c>
      <c r="E6" s="1"/>
      <c r="F6" s="19"/>
      <c r="G6" s="1"/>
    </row>
    <row r="7" customFormat="false" ht="12.75" hidden="false" customHeight="false" outlineLevel="0" collapsed="false">
      <c r="B7" s="1" t="s">
        <v>85</v>
      </c>
      <c r="C7" s="1" t="s">
        <v>86</v>
      </c>
      <c r="D7" s="20" t="n">
        <v>7</v>
      </c>
      <c r="E7" s="1" t="s">
        <v>87</v>
      </c>
      <c r="F7" s="19"/>
      <c r="G7" s="1"/>
    </row>
    <row r="8" customFormat="false" ht="12.75" hidden="false" customHeight="false" outlineLevel="0" collapsed="false">
      <c r="B8" s="1"/>
      <c r="C8" s="1"/>
      <c r="D8" s="7"/>
      <c r="E8" s="1"/>
      <c r="F8" s="1"/>
      <c r="G8" s="1"/>
    </row>
    <row r="9" customFormat="false" ht="12.75" hidden="false" customHeight="false" outlineLevel="0" collapsed="false">
      <c r="B9" s="1" t="s">
        <v>93</v>
      </c>
      <c r="C9" s="1" t="s">
        <v>94</v>
      </c>
      <c r="D9" s="4" t="n">
        <f aca="false">(1+D5)^(D7/12)-1</f>
        <v>0.0627678409049488</v>
      </c>
      <c r="E9" s="1" t="s">
        <v>95</v>
      </c>
      <c r="F9" s="1"/>
      <c r="G9" s="1"/>
    </row>
    <row r="10" customFormat="false" ht="12.75" hidden="false" customHeight="false" outlineLevel="0" collapsed="false">
      <c r="E10" s="1"/>
      <c r="F10" s="1"/>
      <c r="G10" s="1"/>
    </row>
    <row r="11" customFormat="false" ht="12.75" hidden="false" customHeight="false" outlineLevel="0" collapsed="false">
      <c r="B11" s="1" t="s">
        <v>88</v>
      </c>
      <c r="C11" s="1" t="s">
        <v>89</v>
      </c>
      <c r="D11" s="21" t="n">
        <f aca="false">D6*(1+D9)</f>
        <v>5313.83920452474</v>
      </c>
      <c r="E11" s="1"/>
      <c r="F11" s="1"/>
      <c r="G11" s="1"/>
    </row>
    <row r="12" customFormat="false" ht="12.75" hidden="false" customHeight="false" outlineLevel="0" collapsed="false">
      <c r="B12" s="1" t="s">
        <v>71</v>
      </c>
      <c r="C12" s="1" t="s">
        <v>72</v>
      </c>
      <c r="D12" s="21" t="n">
        <f aca="false">D11-D6</f>
        <v>313.839204524744</v>
      </c>
      <c r="E12" s="1"/>
      <c r="F12" s="1"/>
      <c r="G12" s="1"/>
    </row>
    <row r="13" customFormat="false" ht="12.75" hidden="false" customHeight="false" outlineLevel="0" collapsed="false">
      <c r="E13" s="1"/>
      <c r="F13" s="1"/>
      <c r="G13" s="1"/>
    </row>
    <row r="14" customFormat="false" ht="12.75" hidden="false" customHeight="false" outlineLevel="0" collapsed="false">
      <c r="B14" s="1"/>
      <c r="C14" s="1"/>
      <c r="D14" s="1"/>
      <c r="E14" s="1"/>
      <c r="F14" s="1"/>
      <c r="G14" s="1"/>
    </row>
    <row r="15" customFormat="false" ht="12.75" hidden="false" customHeight="false" outlineLevel="0" collapsed="false">
      <c r="B15" s="1" t="s">
        <v>96</v>
      </c>
      <c r="C15" s="1"/>
    </row>
    <row r="16" customFormat="false" ht="12.75" hidden="false" customHeight="false" outlineLevel="0" collapsed="false">
      <c r="B16" s="1" t="s">
        <v>97</v>
      </c>
      <c r="C16" s="1"/>
    </row>
    <row r="17" customFormat="false" ht="12.75" hidden="false" customHeight="false" outlineLevel="0" collapsed="false">
      <c r="B17" s="1"/>
      <c r="C17" s="1"/>
      <c r="D17" s="1"/>
      <c r="E17" s="1"/>
      <c r="F17" s="1"/>
      <c r="G17" s="1"/>
    </row>
    <row r="18" customFormat="false" ht="12.75" hidden="false" customHeight="false" outlineLevel="0" collapsed="false">
      <c r="B18" s="1" t="s">
        <v>98</v>
      </c>
      <c r="C18" s="1" t="s">
        <v>83</v>
      </c>
      <c r="D18" s="4" t="n">
        <v>0.2</v>
      </c>
      <c r="E18" s="1"/>
      <c r="F18" s="1"/>
      <c r="G18" s="1"/>
    </row>
    <row r="19" customFormat="false" ht="12.75" hidden="false" customHeight="false" outlineLevel="0" collapsed="false">
      <c r="B19" s="1" t="s">
        <v>99</v>
      </c>
      <c r="C19" s="1" t="s">
        <v>100</v>
      </c>
      <c r="D19" s="22" t="n">
        <f aca="false">D18*D12</f>
        <v>62.7678409049488</v>
      </c>
      <c r="E19" s="1"/>
      <c r="F19" s="1" t="s">
        <v>101</v>
      </c>
      <c r="G19" s="1"/>
    </row>
    <row r="20" customFormat="false" ht="12.75" hidden="false" customHeight="false" outlineLevel="0" collapsed="false">
      <c r="B20" s="1"/>
      <c r="C20" s="1"/>
      <c r="D20" s="1"/>
      <c r="E20" s="1"/>
      <c r="F20" s="1"/>
      <c r="G20" s="1"/>
    </row>
    <row r="21" customFormat="false" ht="12.75" hidden="false" customHeight="false" outlineLevel="0" collapsed="false">
      <c r="B21" s="23" t="s">
        <v>102</v>
      </c>
      <c r="C21" s="23" t="s">
        <v>89</v>
      </c>
      <c r="D21" s="24" t="n">
        <f aca="false">D11-D19</f>
        <v>5251.0713636198</v>
      </c>
      <c r="F21" s="1" t="s">
        <v>103</v>
      </c>
      <c r="G21" s="1"/>
    </row>
    <row r="22" customFormat="false" ht="12.75" hidden="false" customHeight="false" outlineLevel="0" collapsed="false">
      <c r="B22" s="23" t="s">
        <v>32</v>
      </c>
      <c r="C22" s="23" t="s">
        <v>104</v>
      </c>
      <c r="D22" s="25" t="n">
        <f aca="false">D21/D6</f>
        <v>1.05021427272396</v>
      </c>
      <c r="E22" s="1"/>
      <c r="F22" s="1"/>
      <c r="G22" s="1"/>
    </row>
    <row r="23" customFormat="false" ht="12.75" hidden="false" customHeight="false" outlineLevel="0" collapsed="false">
      <c r="B23" s="1" t="s">
        <v>105</v>
      </c>
      <c r="C23" s="2" t="s">
        <v>46</v>
      </c>
      <c r="D23" s="26" t="n">
        <f aca="false">D22^(1/D7)-1</f>
        <v>0.00702372468965007</v>
      </c>
      <c r="E23" s="2" t="s">
        <v>84</v>
      </c>
      <c r="F23" s="1"/>
      <c r="G23" s="1"/>
    </row>
    <row r="24" customFormat="false" ht="12.75" hidden="false" customHeight="false" outlineLevel="0" collapsed="false">
      <c r="B24" s="1"/>
      <c r="C24" s="2"/>
      <c r="D24" s="26" t="n">
        <f aca="false">(D22)^(12/D7)-1</f>
        <v>0.087618103237018</v>
      </c>
      <c r="E24" s="2" t="s">
        <v>4</v>
      </c>
      <c r="F24" s="1" t="s">
        <v>106</v>
      </c>
      <c r="G24" s="1"/>
    </row>
    <row r="28" customFormat="false" ht="12.75" hidden="false" customHeight="false" outlineLevel="0" collapsed="false">
      <c r="B28" s="1" t="s">
        <v>107</v>
      </c>
      <c r="C28" s="1"/>
    </row>
    <row r="29" customFormat="false" ht="12.75" hidden="false" customHeight="false" outlineLevel="0" collapsed="false">
      <c r="B29" s="1"/>
      <c r="C29" s="1"/>
    </row>
    <row r="30" customFormat="false" ht="12.75" hidden="false" customHeight="false" outlineLevel="0" collapsed="false">
      <c r="B30" s="1" t="s">
        <v>108</v>
      </c>
      <c r="C30" s="1" t="s">
        <v>46</v>
      </c>
      <c r="D30" s="27" t="n">
        <f aca="false">D23</f>
        <v>0.00702372468965007</v>
      </c>
      <c r="E30" s="1" t="s">
        <v>84</v>
      </c>
    </row>
    <row r="31" customFormat="false" ht="12.75" hidden="false" customHeight="false" outlineLevel="0" collapsed="false">
      <c r="B31" s="1" t="s">
        <v>109</v>
      </c>
      <c r="C31" s="1" t="s">
        <v>35</v>
      </c>
      <c r="D31" s="28" t="n">
        <v>0.03</v>
      </c>
      <c r="F31" s="1" t="s">
        <v>110</v>
      </c>
      <c r="G31" s="1"/>
    </row>
    <row r="32" customFormat="false" ht="12.75" hidden="false" customHeight="false" outlineLevel="0" collapsed="false">
      <c r="B32" s="1"/>
      <c r="C32" s="1"/>
      <c r="D32" s="20"/>
      <c r="E32" s="1"/>
      <c r="F32" s="1"/>
      <c r="G32" s="1"/>
    </row>
    <row r="33" customFormat="false" ht="12.75" hidden="false" customHeight="false" outlineLevel="0" collapsed="false">
      <c r="B33" s="1" t="s">
        <v>108</v>
      </c>
      <c r="C33" s="1" t="s">
        <v>31</v>
      </c>
      <c r="D33" s="27" t="n">
        <f aca="false">(1+D30)^D7-1</f>
        <v>0.0502142727239596</v>
      </c>
      <c r="F33" s="1" t="s">
        <v>110</v>
      </c>
      <c r="G33" s="1"/>
      <c r="H33" s="1" t="s">
        <v>111</v>
      </c>
    </row>
    <row r="34" customFormat="false" ht="12.75" hidden="false" customHeight="false" outlineLevel="0" collapsed="false">
      <c r="B34" s="1"/>
      <c r="C34" s="1"/>
      <c r="G34" s="1"/>
    </row>
    <row r="35" customFormat="false" ht="12.75" hidden="false" customHeight="false" outlineLevel="0" collapsed="false">
      <c r="B35" s="1" t="s">
        <v>112</v>
      </c>
      <c r="C35" s="2" t="s">
        <v>46</v>
      </c>
      <c r="D35" s="26" t="n">
        <f aca="false">(1+D33)/(1+D31)-1</f>
        <v>0.0196255074989899</v>
      </c>
      <c r="E35" s="2"/>
      <c r="F35" s="1" t="s">
        <v>110</v>
      </c>
      <c r="G35" s="1"/>
    </row>
    <row r="36" customFormat="false" ht="12.75" hidden="false" customHeight="false" outlineLevel="0" collapsed="false">
      <c r="B36" s="1"/>
      <c r="C36" s="2"/>
      <c r="D36" s="11" t="n">
        <f aca="false">(1+D35)^(12/D7)-1</f>
        <v>0.0338791017188111</v>
      </c>
      <c r="E36" s="2" t="s">
        <v>4</v>
      </c>
      <c r="F36" s="1" t="s">
        <v>113</v>
      </c>
    </row>
    <row r="37" customFormat="false" ht="12.75" hidden="false" customHeight="false" outlineLevel="0" collapsed="false">
      <c r="B37" s="1"/>
      <c r="C37" s="1"/>
      <c r="D37" s="22"/>
      <c r="E37" s="1"/>
      <c r="F37" s="1"/>
      <c r="G37" s="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41"/>
  <sheetViews>
    <sheetView showFormulas="false" showGridLines="fals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3" activeCellId="0" sqref="B3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4.57"/>
    <col collapsed="false" customWidth="true" hidden="false" outlineLevel="0" max="3" min="3" style="1" width="33.14"/>
    <col collapsed="false" customWidth="true" hidden="false" outlineLevel="0" max="4" min="4" style="1" width="7.86"/>
    <col collapsed="false" customWidth="true" hidden="false" outlineLevel="0" max="5" min="5" style="1" width="8.86"/>
    <col collapsed="false" customWidth="true" hidden="false" outlineLevel="0" max="6" min="6" style="1" width="5"/>
    <col collapsed="false" customWidth="true" hidden="false" outlineLevel="0" max="7" min="7" style="1" width="17.71"/>
    <col collapsed="false" customWidth="false" hidden="false" outlineLevel="0" max="9" min="8" style="1" width="9.14"/>
    <col collapsed="false" customWidth="true" hidden="false" outlineLevel="0" max="10" min="10" style="1" width="5"/>
    <col collapsed="false" customWidth="true" hidden="false" outlineLevel="0" max="11" min="11" style="1" width="17.29"/>
    <col collapsed="false" customWidth="false" hidden="false" outlineLevel="0" max="16384" min="12" style="1" width="9.14"/>
  </cols>
  <sheetData>
    <row r="2" customFormat="false" ht="12.75" hidden="false" customHeight="false" outlineLevel="0" collapsed="false">
      <c r="B2" s="23" t="s">
        <v>114</v>
      </c>
    </row>
    <row r="4" customFormat="false" ht="12.75" hidden="false" customHeight="false" outlineLevel="0" collapsed="false">
      <c r="A4" s="1" t="s">
        <v>115</v>
      </c>
      <c r="B4" s="1" t="s">
        <v>116</v>
      </c>
    </row>
    <row r="5" customFormat="false" ht="12.75" hidden="false" customHeight="false" outlineLevel="0" collapsed="false">
      <c r="B5" s="1" t="s">
        <v>117</v>
      </c>
    </row>
    <row r="6" customFormat="false" ht="12.75" hidden="false" customHeight="false" outlineLevel="0" collapsed="false">
      <c r="B6" s="1" t="s">
        <v>118</v>
      </c>
    </row>
    <row r="8" customFormat="false" ht="12.75" hidden="false" customHeight="false" outlineLevel="0" collapsed="false">
      <c r="A8" s="1" t="s">
        <v>48</v>
      </c>
      <c r="B8" s="1" t="s">
        <v>119</v>
      </c>
    </row>
    <row r="9" customFormat="false" ht="12.75" hidden="false" customHeight="false" outlineLevel="0" collapsed="false">
      <c r="B9" s="1" t="s">
        <v>120</v>
      </c>
    </row>
    <row r="11" customFormat="false" ht="12.75" hidden="false" customHeight="false" outlineLevel="0" collapsed="false">
      <c r="A11" s="1" t="s">
        <v>53</v>
      </c>
      <c r="B11" s="1" t="s">
        <v>121</v>
      </c>
    </row>
    <row r="12" customFormat="false" ht="12.75" hidden="false" customHeight="false" outlineLevel="0" collapsed="false">
      <c r="B12" s="1" t="s">
        <v>122</v>
      </c>
    </row>
    <row r="13" customFormat="false" ht="12.75" hidden="false" customHeight="false" outlineLevel="0" collapsed="false">
      <c r="B13" s="1" t="s">
        <v>123</v>
      </c>
    </row>
    <row r="15" customFormat="false" ht="12.75" hidden="false" customHeight="false" outlineLevel="0" collapsed="false">
      <c r="A15" s="1" t="s">
        <v>79</v>
      </c>
      <c r="B15" s="1" t="s">
        <v>124</v>
      </c>
    </row>
    <row r="16" customFormat="false" ht="12.75" hidden="false" customHeight="false" outlineLevel="0" collapsed="false">
      <c r="B16" s="1" t="s">
        <v>125</v>
      </c>
    </row>
    <row r="17" customFormat="false" ht="12.75" hidden="false" customHeight="false" outlineLevel="0" collapsed="false">
      <c r="B17" s="1" t="s">
        <v>126</v>
      </c>
    </row>
    <row r="19" customFormat="false" ht="12.75" hidden="false" customHeight="false" outlineLevel="0" collapsed="false">
      <c r="A19" s="1" t="s">
        <v>90</v>
      </c>
      <c r="B19" s="1" t="s">
        <v>127</v>
      </c>
    </row>
    <row r="20" customFormat="false" ht="12.75" hidden="false" customHeight="false" outlineLevel="0" collapsed="false">
      <c r="B20" s="1" t="s">
        <v>128</v>
      </c>
    </row>
    <row r="21" customFormat="false" ht="12.75" hidden="false" customHeight="false" outlineLevel="0" collapsed="false">
      <c r="B21" s="1" t="s">
        <v>129</v>
      </c>
    </row>
    <row r="23" customFormat="false" ht="12.75" hidden="false" customHeight="false" outlineLevel="0" collapsed="false">
      <c r="A23" s="1" t="s">
        <v>130</v>
      </c>
      <c r="B23" s="1" t="s">
        <v>131</v>
      </c>
    </row>
    <row r="24" customFormat="false" ht="12.75" hidden="false" customHeight="false" outlineLevel="0" collapsed="false">
      <c r="B24" s="1" t="s">
        <v>132</v>
      </c>
    </row>
    <row r="25" customFormat="false" ht="12.75" hidden="false" customHeight="false" outlineLevel="0" collapsed="false">
      <c r="B25" s="1" t="s">
        <v>133</v>
      </c>
    </row>
    <row r="26" customFormat="false" ht="12.75" hidden="false" customHeight="false" outlineLevel="0" collapsed="false">
      <c r="B26" s="1" t="s">
        <v>134</v>
      </c>
    </row>
    <row r="28" customFormat="false" ht="12.75" hidden="false" customHeight="false" outlineLevel="0" collapsed="false">
      <c r="A28" s="1" t="s">
        <v>135</v>
      </c>
      <c r="B28" s="1" t="s">
        <v>54</v>
      </c>
    </row>
    <row r="29" customFormat="false" ht="12.75" hidden="false" customHeight="false" outlineLevel="0" collapsed="false">
      <c r="B29" s="1" t="s">
        <v>136</v>
      </c>
    </row>
    <row r="30" customFormat="false" ht="12.75" hidden="false" customHeight="false" outlineLevel="0" collapsed="false">
      <c r="B30" s="1" t="s">
        <v>56</v>
      </c>
    </row>
    <row r="32" customFormat="false" ht="12.75" hidden="false" customHeight="false" outlineLevel="0" collapsed="false">
      <c r="A32" s="1" t="s">
        <v>137</v>
      </c>
      <c r="B32" s="1" t="s">
        <v>138</v>
      </c>
    </row>
    <row r="33" customFormat="false" ht="12.75" hidden="false" customHeight="false" outlineLevel="0" collapsed="false">
      <c r="B33" s="1" t="s">
        <v>139</v>
      </c>
    </row>
    <row r="35" customFormat="false" ht="12.75" hidden="false" customHeight="false" outlineLevel="0" collapsed="false">
      <c r="A35" s="1" t="s">
        <v>140</v>
      </c>
      <c r="B35" s="1" t="s">
        <v>141</v>
      </c>
    </row>
    <row r="36" customFormat="false" ht="12.75" hidden="false" customHeight="false" outlineLevel="0" collapsed="false">
      <c r="B36" s="1" t="s">
        <v>142</v>
      </c>
    </row>
    <row r="38" customFormat="false" ht="12.75" hidden="false" customHeight="false" outlineLevel="0" collapsed="false">
      <c r="A38" s="1" t="s">
        <v>143</v>
      </c>
      <c r="B38" s="1" t="s">
        <v>144</v>
      </c>
    </row>
    <row r="39" customFormat="false" ht="12.75" hidden="false" customHeight="false" outlineLevel="0" collapsed="false">
      <c r="B39" s="1" t="s">
        <v>97</v>
      </c>
    </row>
    <row r="41" customFormat="false" ht="12.75" hidden="false" customHeight="false" outlineLevel="0" collapsed="false">
      <c r="A41" s="1" t="s">
        <v>145</v>
      </c>
      <c r="B41" s="1" t="s">
        <v>146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LibreOffice/24.2.1.2$Windows_X86_64 LibreOffice_project/db4def46b0453cc22e2d0305797cf981b68ef5ac</Application>
  <AppVersion>15.0000</AppVersion>
  <Company>Banco Reg. de Desenvolv. do Extremo Sul - BRDE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2002-07-22T19:40:15Z</dcterms:created>
  <dc:creator>CarlosBoabaid</dc:creator>
  <dc:description/>
  <dc:language>pt-BR</dc:language>
  <cp:lastModifiedBy/>
  <cp:lastPrinted>2008-11-05T17:11:41Z</cp:lastPrinted>
  <dcterms:modified xsi:type="dcterms:W3CDTF">2025-04-24T08:04:22Z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