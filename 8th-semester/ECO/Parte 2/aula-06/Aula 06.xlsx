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 06 Exemplo 01" sheetId="1" r:id="rId4"/>
    <sheet state="visible" name="Aula 06 Exemplo 02" sheetId="2" r:id="rId5"/>
    <sheet state="visible" name="Capitalizacao" sheetId="3" r:id="rId6"/>
    <sheet state="visible" name="Capitalizacao (2)" sheetId="4" r:id="rId7"/>
    <sheet state="visible" name="Aula 06 Exemplo 03" sheetId="5" r:id="rId8"/>
    <sheet state="visible" name="Aula 06 Exemplo 04" sheetId="6" r:id="rId9"/>
    <sheet state="visible" name="Aula 06 Exemplo 05" sheetId="7" r:id="rId10"/>
    <sheet state="visible" name="Aula 06 Exemplo 06" sheetId="8" r:id="rId11"/>
    <sheet state="visible" name="Aula 06 Exemplo 07" sheetId="9" r:id="rId12"/>
    <sheet state="visible" name="Aula 06 Exemplo 08" sheetId="10" r:id="rId13"/>
    <sheet state="visible" name="Aula 06 Exercicios" sheetId="11" r:id="rId14"/>
  </sheets>
  <definedNames/>
  <calcPr/>
  <extLst>
    <ext uri="GoogleSheetsCustomDataVersion2">
      <go:sheetsCustomData xmlns:go="http://customooxmlschemas.google.com/" r:id="rId15" roundtripDataChecksum="FFlQByvP/8Ww7kuXv/fcQZFOTboDrxfcxRfOjuJ7mTk="/>
    </ext>
  </extLst>
</workbook>
</file>

<file path=xl/sharedStrings.xml><?xml version="1.0" encoding="utf-8"?>
<sst xmlns="http://schemas.openxmlformats.org/spreadsheetml/2006/main" count="206" uniqueCount="118">
  <si>
    <r>
      <rPr>
        <rFont val="Arial"/>
        <color theme="1"/>
        <sz val="10.0"/>
      </rPr>
      <t xml:space="preserve">Foram aplicados $1.000,00 pelo prazo de 4 anos, a uma taxa de </t>
    </r>
    <r>
      <rPr>
        <rFont val="Arial"/>
        <color rgb="FFFF0000"/>
        <sz val="10.0"/>
      </rPr>
      <t>juros simples</t>
    </r>
    <r>
      <rPr>
        <rFont val="Arial"/>
        <color theme="1"/>
        <sz val="10.0"/>
      </rPr>
      <t xml:space="preserve"> de 8% ao ano. </t>
    </r>
  </si>
  <si>
    <t>Calcular o saldo no final dos 4 anos da operação.</t>
  </si>
  <si>
    <t xml:space="preserve">P = </t>
  </si>
  <si>
    <t>&gt;&gt; valor inicialmente investido: valor presente (capital)</t>
  </si>
  <si>
    <t xml:space="preserve">n = </t>
  </si>
  <si>
    <t>anos</t>
  </si>
  <si>
    <t>&gt;&gt; prazo da operação</t>
  </si>
  <si>
    <t xml:space="preserve">i = </t>
  </si>
  <si>
    <t>a.a.</t>
  </si>
  <si>
    <t>&gt;&gt; taxa de juros</t>
  </si>
  <si>
    <t xml:space="preserve">J = </t>
  </si>
  <si>
    <t>&gt;&gt; valor total dos juros</t>
  </si>
  <si>
    <t>F =</t>
  </si>
  <si>
    <t>&gt;&gt; valor futuro (montante)</t>
  </si>
  <si>
    <r>
      <rPr>
        <rFont val="Arial"/>
        <color theme="1"/>
        <sz val="10.0"/>
      </rPr>
      <t xml:space="preserve">Foram aplicados $1.000,00 pelo prazo de 4 anos, a uma taxa de </t>
    </r>
    <r>
      <rPr>
        <rFont val="Arial"/>
        <color rgb="FFFF0000"/>
        <sz val="10.0"/>
      </rPr>
      <t>juros compostos</t>
    </r>
    <r>
      <rPr>
        <rFont val="Arial"/>
        <color theme="1"/>
        <sz val="10.0"/>
      </rPr>
      <t xml:space="preserve"> de 8% ao ano. </t>
    </r>
  </si>
  <si>
    <t xml:space="preserve">VF = </t>
  </si>
  <si>
    <t>&gt;&gt; função "VF" do Excel</t>
  </si>
  <si>
    <t>fluxo de caixa de investimento</t>
  </si>
  <si>
    <t>sem capitalização</t>
  </si>
  <si>
    <t>com capitalização</t>
  </si>
  <si>
    <t>t</t>
  </si>
  <si>
    <t>F(t)</t>
  </si>
  <si>
    <t>rend(t)</t>
  </si>
  <si>
    <t>rend acum.</t>
  </si>
  <si>
    <t xml:space="preserve">Uma administradora de cartões de crédito cobra uma taxa de juros de 7,85% ao mês sobre o saldo devedor. </t>
  </si>
  <si>
    <t xml:space="preserve">Se, em determinado mês, uma pessoa não conseguir quitar um saldo devedor de R$1.000, e quiser pagá-lo após 4 meses, </t>
  </si>
  <si>
    <t>quanto será o valor a pagar?</t>
  </si>
  <si>
    <t>&gt;&gt; saldo devedor = valor financiado</t>
  </si>
  <si>
    <t>a.m.</t>
  </si>
  <si>
    <t>&gt;&gt; taxa nominal mensal = taxa efetiva</t>
  </si>
  <si>
    <t>meses</t>
  </si>
  <si>
    <t>&gt;&gt; período do financiamento</t>
  </si>
  <si>
    <t>Usando as fórmulas matemáticas:</t>
  </si>
  <si>
    <t xml:space="preserve">F/P = </t>
  </si>
  <si>
    <t xml:space="preserve">F = </t>
  </si>
  <si>
    <t>&gt;&gt;&gt;&gt;</t>
  </si>
  <si>
    <t>valor futuro = valor a pagar</t>
  </si>
  <si>
    <t>juros = j =</t>
  </si>
  <si>
    <t>Um lote de ações foi adquirido por R$26.000, e após 6 meses foi vendido a R$32.000.</t>
  </si>
  <si>
    <t xml:space="preserve">A alíquota de imposto de renda (IR) é de 20%. </t>
  </si>
  <si>
    <t xml:space="preserve">Qual o retorno deste investimento? </t>
  </si>
  <si>
    <t>&gt;&gt; valor inicialmente investido</t>
  </si>
  <si>
    <t>&gt;&gt; valor da venda</t>
  </si>
  <si>
    <t xml:space="preserve">lucro bruto = </t>
  </si>
  <si>
    <t xml:space="preserve">IR = </t>
  </si>
  <si>
    <t xml:space="preserve">lucro líquido = </t>
  </si>
  <si>
    <t xml:space="preserve">retorno bruto = </t>
  </si>
  <si>
    <t>&gt;&gt; lucro bruto sobre o valor investido</t>
  </si>
  <si>
    <t xml:space="preserve">retorno líquido = </t>
  </si>
  <si>
    <t>&gt;&gt; lucro líquido sobre o valor investido</t>
  </si>
  <si>
    <t xml:space="preserve">taxa de retorno = </t>
  </si>
  <si>
    <t>&gt;&gt; estes valores podem ser comparados a outras alternativas de investimento</t>
  </si>
  <si>
    <t>&gt;&gt;&gt;</t>
  </si>
  <si>
    <t xml:space="preserve">Um investimento promete pagar uma remuneração de 0,5% ao mês. </t>
  </si>
  <si>
    <t xml:space="preserve">Investindo R$10.000 durante um ano, em que a taxa de inflação acumulada em 12 meses foi de 4,5%, </t>
  </si>
  <si>
    <t>quanto será o retorno real?</t>
  </si>
  <si>
    <t>&gt;&gt; taxa de juros mensal</t>
  </si>
  <si>
    <t>&gt;&gt; valor final</t>
  </si>
  <si>
    <t xml:space="preserve">inflação = </t>
  </si>
  <si>
    <t>&gt;&gt; correção monetária</t>
  </si>
  <si>
    <t xml:space="preserve">F/P(infl) = </t>
  </si>
  <si>
    <t>&gt;&gt; fator de correção pela inflação</t>
  </si>
  <si>
    <t xml:space="preserve">valor  corrigido = </t>
  </si>
  <si>
    <t>&gt;&gt; valor inicial corrigido após 12 meses</t>
  </si>
  <si>
    <t xml:space="preserve">lucro efetivo = </t>
  </si>
  <si>
    <t xml:space="preserve">taxa real = </t>
  </si>
  <si>
    <t>&gt;&gt; calculando a partir do valor corrigido monetariamente pela inflação</t>
  </si>
  <si>
    <t>n(meses)</t>
  </si>
  <si>
    <t>SD(inicial)</t>
  </si>
  <si>
    <t>J</t>
  </si>
  <si>
    <t>SD(final)</t>
  </si>
  <si>
    <t>F/A</t>
  </si>
  <si>
    <t>Uso da função VF</t>
  </si>
  <si>
    <t>&gt;&gt;&gt;&gt;&gt;</t>
  </si>
  <si>
    <t>Apliquei R$2500 em CDB para resgate em 8 meses. A taxa é de 1%a.m..</t>
  </si>
  <si>
    <t xml:space="preserve">Quanto vou receber? </t>
  </si>
  <si>
    <t xml:space="preserve">Quanto serão os juros? </t>
  </si>
  <si>
    <t xml:space="preserve">VP = </t>
  </si>
  <si>
    <t>R$</t>
  </si>
  <si>
    <t xml:space="preserve">FC = </t>
  </si>
  <si>
    <t>(1+i)^n</t>
  </si>
  <si>
    <t>VF*FC</t>
  </si>
  <si>
    <t>J = VF – VP</t>
  </si>
  <si>
    <t xml:space="preserve">Contraí uma dívida de R$4.500 junto ao banco para ser paga após 1 ano. </t>
  </si>
  <si>
    <t xml:space="preserve">A taxa de juros é de 6,5% ao mês. Qual o valor a ser pago ao final? Qual o valor dos juros? </t>
  </si>
  <si>
    <t>EXERCÍCIOS</t>
  </si>
  <si>
    <t>[1]</t>
  </si>
  <si>
    <t xml:space="preserve">Qual o montante final obtido em uma aplicação de R$10.000, a uma taxa nominal anual de 6%, com capitalização mensal, durante 48 meses? </t>
  </si>
  <si>
    <t>[2]</t>
  </si>
  <si>
    <t>Para cobrir uma dívida de R$5.000 hoje, preciso contrair um financiamento pessoal a uma taxa de 11,2% a.m., para ser pago daqui a 6 meses.</t>
  </si>
  <si>
    <t xml:space="preserve">Qual será o valor a pagar no final do prazo? </t>
  </si>
  <si>
    <t xml:space="preserve">[3] </t>
  </si>
  <si>
    <t xml:space="preserve">Para cobrir a mesma dívida do exercício [2], um agiota me cobraria R$7.500 daqui a 4 meses. </t>
  </si>
  <si>
    <t xml:space="preserve">Qual a taxa de juros cobrada pelo agiota? </t>
  </si>
  <si>
    <t>[4]</t>
  </si>
  <si>
    <t xml:space="preserve">Deseja-se realizar uma viagem que custará R$30.000 daqui a 2 anos. </t>
  </si>
  <si>
    <t xml:space="preserve">Quanto se deveria aplicar agora, em um investimento com taxa de juros de 1,5%a.m., para poder pagar pela viagem? </t>
  </si>
  <si>
    <t>[5]</t>
  </si>
  <si>
    <t xml:space="preserve">No exercício [4], se o valor da viagem é R$30.000 hoje, e a taxa de inflação prevista para o período é de 6%a.a., </t>
  </si>
  <si>
    <t xml:space="preserve">quanto deveria ser o valor investido agora? </t>
  </si>
  <si>
    <t>[6]</t>
  </si>
  <si>
    <t>Adquiriu-se um lote de ações de uma determinada companhia por R$9.564, que foi vendido 75 dias depois por R$11.439.</t>
  </si>
  <si>
    <t>Qual a taxa de juros mensal equivalente desta operação de compra e venda?</t>
  </si>
  <si>
    <t>[7]</t>
  </si>
  <si>
    <t xml:space="preserve">As ações da companhia Camil Alimentos S.A. (ticker: CAML3) estavam cotadas a R$9,97 no dia 31/05/2021. </t>
  </si>
  <si>
    <t>Uma pessoa adquiriu um lote de 1.000 ações neste dia, e precisou vendê-las no dia 31/10/2021, quando a ação estava cotada a R$9,68.</t>
  </si>
  <si>
    <t xml:space="preserve">Sabendo que a corretora cobra, por operação de compra ou venda, uma taxa de corretagem fixa de R$5,00 mais 0,02% do valor movimentado, </t>
  </si>
  <si>
    <t xml:space="preserve">qual foi a taxa de retorno da operação? </t>
  </si>
  <si>
    <t>[8]</t>
  </si>
  <si>
    <t>Qual a opção mais vantajosa para se aplicar uma certa quantidade de recursos:</t>
  </si>
  <si>
    <t>(a) taxa de 40% a.a. com capitalização mensal</t>
  </si>
  <si>
    <t>(b) taxa de juros de 1% a.m. com correção monetária de 3% a.t.</t>
  </si>
  <si>
    <t>[9]</t>
  </si>
  <si>
    <t xml:space="preserve">Uma dívida de R$2.000,00 será paga 3 meses antes do seu vencimento, em 20 de dezembro. </t>
  </si>
  <si>
    <t>Sabendo que a taxa de juro para essa dívida é de 5% a.m., em regime de juro composto, qual deverá ser o valor do desconto?</t>
  </si>
  <si>
    <t>[10]</t>
  </si>
  <si>
    <t>Um investimento promete pagar juros de 9,0%a.a.. Se fôr feito um investimento de R$5.000, e este investimento fôr resgatado</t>
  </si>
  <si>
    <t xml:space="preserve">7 meses após, qual será o valor total resgatado? Qual será o valor dos juros?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</si>
</sst>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_);[RED]\(#,##0.00\)"/>
    <numFmt numFmtId="165" formatCode="0.000%"/>
    <numFmt numFmtId="166" formatCode="#,##0.00_ ;[RED]\-#,##0.00\ "/>
    <numFmt numFmtId="167" formatCode="&quot;R$ &quot;#,##0.00;[RED]&quot;-R$ &quot;#,##0.00"/>
    <numFmt numFmtId="168" formatCode="0.0%"/>
    <numFmt numFmtId="169" formatCode="#,##0.0000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FF0000"/>
      <name val="Arial"/>
    </font>
    <font>
      <sz val="10.0"/>
      <color rgb="FF0070C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FFFF00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horizontal="right" shrinkToFit="0" vertical="center" wrapText="0"/>
    </xf>
    <xf borderId="0" fillId="0" fontId="1" numFmtId="9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1" fillId="0" fontId="1" numFmtId="4" xfId="0" applyAlignment="1" applyBorder="1" applyFont="1" applyNumberFormat="1">
      <alignment horizontal="center" shrinkToFit="0" vertical="bottom" wrapText="0"/>
    </xf>
    <xf borderId="1" fillId="0" fontId="1" numFmtId="10" xfId="0" applyAlignment="1" applyBorder="1" applyFont="1" applyNumberFormat="1">
      <alignment horizontal="center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2" fillId="2" fontId="1" numFmtId="4" xfId="0" applyAlignment="1" applyBorder="1" applyFill="1" applyFont="1" applyNumberFormat="1">
      <alignment shrinkToFit="0" vertical="bottom" wrapText="0"/>
    </xf>
    <xf borderId="2" fillId="3" fontId="1" numFmtId="4" xfId="0" applyAlignment="1" applyBorder="1" applyFill="1" applyFont="1" applyNumberFormat="1">
      <alignment shrinkToFit="0" vertical="bottom" wrapText="0"/>
    </xf>
    <xf borderId="0" fillId="0" fontId="1" numFmtId="167" xfId="0" applyAlignment="1" applyFont="1" applyNumberFormat="1">
      <alignment horizontal="right" shrinkToFit="0" vertical="center" wrapText="0"/>
    </xf>
    <xf borderId="0" fillId="0" fontId="4" numFmtId="0" xfId="0" applyAlignment="1" applyFon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2" fillId="4" fontId="1" numFmtId="10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8" xfId="0" applyAlignment="1" applyFont="1" applyNumberFormat="1">
      <alignment shrinkToFit="0" vertical="bottom" wrapText="0"/>
    </xf>
    <xf borderId="0" fillId="0" fontId="1" numFmtId="169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2" fillId="3" fontId="1" numFmtId="0" xfId="0" applyAlignment="1" applyBorder="1" applyFont="1">
      <alignment shrinkToFit="0" vertical="bottom" wrapText="0"/>
    </xf>
    <xf borderId="2" fillId="3" fontId="1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bottom" wrapText="0"/>
    </xf>
    <xf borderId="0" fillId="0" fontId="2" numFmtId="9" xfId="0" applyFont="1" applyNumberFormat="1"/>
    <xf borderId="0" fillId="0" fontId="1" numFmtId="169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bottom" wrapText="0"/>
    </xf>
    <xf borderId="2" fillId="5" fontId="1" numFmtId="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Capitalizacao!$B$9:$B$35</c:f>
            </c:numRef>
          </c:xVal>
          <c:yVal>
            <c:numRef>
              <c:f>Capitalizacao!$C$9:$C$35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622668"/>
        <c:axId val="20037333"/>
      </c:scatterChart>
      <c:valAx>
        <c:axId val="326622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20037333"/>
      </c:valAx>
      <c:valAx>
        <c:axId val="20037333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326622668"/>
      </c:valAx>
    </c:plotArea>
    <c:legend>
      <c:legendPos val="t"/>
      <c:layout>
        <c:manualLayout>
          <c:xMode val="edge"/>
          <c:yMode val="edge"/>
          <c:x val="0.180014744364161"/>
          <c:y val="0.0263491308244719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xVal>
            <c:numRef>
              <c:f>'Capitalizacao (2)'!$B$9:$B$35</c:f>
            </c:numRef>
          </c:xVal>
          <c:yVal>
            <c:numRef>
              <c:f>'Capitalizacao (2)'!$C$9:$C$35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58689"/>
        <c:axId val="1181818000"/>
      </c:scatterChart>
      <c:valAx>
        <c:axId val="4066586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1181818000"/>
      </c:valAx>
      <c:valAx>
        <c:axId val="1181818000"/>
        <c:scaling>
          <c:orientation val="minMax"/>
          <c:min val="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406658689"/>
      </c:valAx>
    </c:plotArea>
    <c:legend>
      <c:legendPos val="t"/>
      <c:layout>
        <c:manualLayout>
          <c:xMode val="edge"/>
          <c:yMode val="edge"/>
          <c:x val="0.180014744364161"/>
          <c:y val="0.0263491308244719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Relationship Id="rId3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476250</xdr:colOff>
      <xdr:row>7</xdr:row>
      <xdr:rowOff>38100</xdr:rowOff>
    </xdr:from>
    <xdr:ext cx="1524000" cy="3238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7</xdr:row>
      <xdr:rowOff>38100</xdr:rowOff>
    </xdr:from>
    <xdr:ext cx="1276350" cy="3714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495300</xdr:colOff>
      <xdr:row>9</xdr:row>
      <xdr:rowOff>47625</xdr:rowOff>
    </xdr:from>
    <xdr:ext cx="1190625" cy="3429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9</xdr:row>
      <xdr:rowOff>28575</xdr:rowOff>
    </xdr:from>
    <xdr:ext cx="2505075" cy="4381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12</xdr:row>
      <xdr:rowOff>0</xdr:rowOff>
    </xdr:from>
    <xdr:ext cx="1504950" cy="4953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7</xdr:row>
      <xdr:rowOff>66675</xdr:rowOff>
    </xdr:from>
    <xdr:ext cx="1971675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7</xdr:row>
      <xdr:rowOff>66675</xdr:rowOff>
    </xdr:from>
    <xdr:ext cx="1619250" cy="3714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9</xdr:row>
      <xdr:rowOff>142875</xdr:rowOff>
    </xdr:from>
    <xdr:ext cx="1419225" cy="590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1</xdr:row>
      <xdr:rowOff>123825</xdr:rowOff>
    </xdr:from>
    <xdr:ext cx="5191125" cy="2905125"/>
    <xdr:graphicFrame>
      <xdr:nvGraphicFramePr>
        <xdr:cNvPr id="4372275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1</xdr:row>
      <xdr:rowOff>123825</xdr:rowOff>
    </xdr:from>
    <xdr:ext cx="5191125" cy="2905125"/>
    <xdr:graphicFrame>
      <xdr:nvGraphicFramePr>
        <xdr:cNvPr id="93983896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8</xdr:row>
      <xdr:rowOff>114300</xdr:rowOff>
    </xdr:from>
    <xdr:ext cx="1571625" cy="628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17</xdr:row>
      <xdr:rowOff>133350</xdr:rowOff>
    </xdr:from>
    <xdr:ext cx="2676525" cy="2667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114300</xdr:colOff>
      <xdr:row>17</xdr:row>
      <xdr:rowOff>28575</xdr:rowOff>
    </xdr:from>
    <xdr:ext cx="2819400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20</xdr:row>
      <xdr:rowOff>47625</xdr:rowOff>
    </xdr:from>
    <xdr:ext cx="2524125" cy="2857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8</xdr:row>
      <xdr:rowOff>152400</xdr:rowOff>
    </xdr:from>
    <xdr:ext cx="1504950" cy="628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17</xdr:row>
      <xdr:rowOff>0</xdr:rowOff>
    </xdr:from>
    <xdr:ext cx="2628900" cy="3810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19</xdr:row>
      <xdr:rowOff>85725</xdr:rowOff>
    </xdr:from>
    <xdr:ext cx="2524125" cy="2857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16</xdr:row>
      <xdr:rowOff>9525</xdr:rowOff>
    </xdr:from>
    <xdr:ext cx="2695575" cy="6953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2</xdr:row>
      <xdr:rowOff>85725</xdr:rowOff>
    </xdr:from>
    <xdr:ext cx="1695450" cy="6667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8</xdr:row>
      <xdr:rowOff>28575</xdr:rowOff>
    </xdr:from>
    <xdr:ext cx="4333875" cy="234315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12.88"/>
    <col customWidth="1" min="3" max="3" width="10.88"/>
    <col customWidth="1" min="4" max="4" width="8.63"/>
    <col customWidth="1" min="5" max="5" width="7.13"/>
    <col customWidth="1" min="6" max="26" width="8.63"/>
  </cols>
  <sheetData>
    <row r="1" ht="12.75" customHeight="1"/>
    <row r="2" ht="12.75" customHeight="1">
      <c r="A2" s="1" t="s">
        <v>0</v>
      </c>
    </row>
    <row r="3" ht="12.75" customHeight="1">
      <c r="A3" s="2" t="s">
        <v>1</v>
      </c>
    </row>
    <row r="4" ht="12.75" customHeight="1"/>
    <row r="5" ht="12.75" customHeight="1">
      <c r="A5" s="1" t="s">
        <v>2</v>
      </c>
      <c r="B5" s="3">
        <v>1000.0</v>
      </c>
      <c r="D5" s="1" t="s">
        <v>3</v>
      </c>
    </row>
    <row r="6" ht="12.75" customHeight="1">
      <c r="A6" s="1" t="s">
        <v>4</v>
      </c>
      <c r="B6" s="2">
        <v>4.0</v>
      </c>
      <c r="C6" s="1" t="s">
        <v>5</v>
      </c>
      <c r="D6" s="1" t="s">
        <v>6</v>
      </c>
    </row>
    <row r="7" ht="12.75" customHeight="1">
      <c r="A7" s="1" t="s">
        <v>7</v>
      </c>
      <c r="B7" s="4">
        <v>0.08</v>
      </c>
      <c r="C7" s="1" t="s">
        <v>8</v>
      </c>
      <c r="D7" s="1" t="s">
        <v>9</v>
      </c>
    </row>
    <row r="8" ht="12.75" customHeight="1">
      <c r="B8" s="1"/>
      <c r="C8" s="1"/>
      <c r="D8" s="4"/>
      <c r="E8" s="5"/>
      <c r="F8" s="1"/>
      <c r="H8" s="1"/>
      <c r="K8" s="1"/>
      <c r="L8" s="1"/>
    </row>
    <row r="9" ht="12.75" customHeight="1">
      <c r="A9" s="1" t="s">
        <v>10</v>
      </c>
      <c r="B9" s="3">
        <f>B5*B7*B6</f>
        <v>320</v>
      </c>
      <c r="C9" s="1"/>
      <c r="D9" s="4" t="s">
        <v>11</v>
      </c>
      <c r="E9" s="1"/>
      <c r="F9" s="1"/>
      <c r="G9" s="1"/>
      <c r="H9" s="1"/>
      <c r="K9" s="1"/>
      <c r="L9" s="1"/>
    </row>
    <row r="10" ht="12.75" customHeight="1">
      <c r="B10" s="3"/>
    </row>
    <row r="11" ht="12.75" customHeight="1">
      <c r="A11" s="1" t="s">
        <v>12</v>
      </c>
      <c r="B11" s="3">
        <f>B5+B9</f>
        <v>1320</v>
      </c>
      <c r="C11" s="1"/>
      <c r="D11" s="1" t="s">
        <v>13</v>
      </c>
      <c r="E11" s="1"/>
      <c r="F11" s="1"/>
      <c r="H11" s="1"/>
    </row>
    <row r="12" ht="12.75" customHeight="1">
      <c r="B12" s="3"/>
      <c r="F12" s="1"/>
    </row>
    <row r="13" ht="12.75" customHeight="1">
      <c r="B13" s="3"/>
      <c r="C13" s="1"/>
      <c r="H13" s="1"/>
      <c r="J13" s="1"/>
    </row>
    <row r="14" ht="12.75" customHeight="1">
      <c r="B14" s="3"/>
      <c r="C14" s="1"/>
      <c r="H14" s="1"/>
    </row>
    <row r="15" ht="12.75" customHeight="1">
      <c r="B15" s="3"/>
      <c r="H15" s="1"/>
    </row>
    <row r="16" ht="12.75" customHeight="1">
      <c r="B16" s="3"/>
      <c r="C16" s="1"/>
    </row>
    <row r="17" ht="12.75" customHeight="1">
      <c r="B17" s="1"/>
      <c r="C17" s="1"/>
      <c r="D17" s="6"/>
    </row>
    <row r="18" ht="12.75" customHeight="1">
      <c r="D18" s="6"/>
    </row>
    <row r="19" ht="12.75" customHeight="1">
      <c r="C19" s="1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12.88"/>
    <col customWidth="1" min="3" max="3" width="10.88"/>
    <col customWidth="1" min="4" max="4" width="8.63"/>
    <col customWidth="1" min="5" max="5" width="7.13"/>
    <col customWidth="1" min="6" max="26" width="8.63"/>
  </cols>
  <sheetData>
    <row r="1" ht="12.75" customHeight="1"/>
    <row r="2" ht="12.75" customHeight="1">
      <c r="A2" s="1" t="s">
        <v>14</v>
      </c>
    </row>
    <row r="3" ht="12.75" customHeight="1">
      <c r="A3" s="2" t="s">
        <v>1</v>
      </c>
    </row>
    <row r="4" ht="12.75" customHeight="1"/>
    <row r="5" ht="12.75" customHeight="1">
      <c r="A5" s="1" t="s">
        <v>2</v>
      </c>
      <c r="B5" s="3">
        <v>1000.0</v>
      </c>
      <c r="D5" s="1" t="s">
        <v>3</v>
      </c>
    </row>
    <row r="6" ht="12.75" customHeight="1">
      <c r="A6" s="1" t="s">
        <v>4</v>
      </c>
      <c r="B6" s="2">
        <v>4.0</v>
      </c>
      <c r="C6" s="1" t="s">
        <v>5</v>
      </c>
      <c r="D6" s="1" t="s">
        <v>6</v>
      </c>
    </row>
    <row r="7" ht="12.75" customHeight="1">
      <c r="A7" s="1" t="s">
        <v>7</v>
      </c>
      <c r="B7" s="4">
        <v>0.08</v>
      </c>
      <c r="C7" s="1" t="s">
        <v>8</v>
      </c>
      <c r="D7" s="1" t="s">
        <v>9</v>
      </c>
    </row>
    <row r="8" ht="12.75" customHeight="1">
      <c r="B8" s="1"/>
      <c r="C8" s="1"/>
      <c r="D8" s="4"/>
      <c r="E8" s="5"/>
      <c r="F8" s="1"/>
      <c r="H8" s="1"/>
      <c r="K8" s="1"/>
      <c r="L8" s="1"/>
    </row>
    <row r="9" ht="12.75" customHeight="1">
      <c r="A9" s="1" t="s">
        <v>12</v>
      </c>
      <c r="B9" s="3">
        <f>B5*(1+B7)^B6</f>
        <v>1360.48896</v>
      </c>
      <c r="C9" s="1"/>
      <c r="D9" s="1" t="s">
        <v>13</v>
      </c>
      <c r="E9" s="1"/>
      <c r="F9" s="1"/>
      <c r="G9" s="1"/>
      <c r="H9" s="1"/>
      <c r="K9" s="1"/>
      <c r="L9" s="1"/>
    </row>
    <row r="10" ht="12.75" customHeight="1"/>
    <row r="11" ht="12.75" customHeight="1">
      <c r="A11" s="1" t="s">
        <v>15</v>
      </c>
      <c r="B11" s="3">
        <f>FV(B7,B6,,B5)</f>
        <v>-1360.48896</v>
      </c>
      <c r="D11" s="7" t="s">
        <v>16</v>
      </c>
      <c r="F11" s="1"/>
      <c r="H11" s="1"/>
    </row>
    <row r="12" ht="12.75" customHeight="1">
      <c r="B12" s="3"/>
      <c r="F12" s="1"/>
    </row>
    <row r="13" ht="12.75" customHeight="1">
      <c r="A13" s="1" t="s">
        <v>10</v>
      </c>
      <c r="B13" s="3">
        <f>B9-B5</f>
        <v>360.48896</v>
      </c>
      <c r="C13" s="1"/>
      <c r="D13" s="4" t="s">
        <v>11</v>
      </c>
      <c r="H13" s="1"/>
      <c r="J13" s="1"/>
    </row>
    <row r="14" ht="12.75" customHeight="1">
      <c r="H14" s="1"/>
    </row>
    <row r="15" ht="12.75" customHeight="1">
      <c r="B15" s="3"/>
      <c r="H15" s="1"/>
    </row>
    <row r="16" ht="12.75" customHeight="1">
      <c r="B16" s="3"/>
      <c r="C16" s="1"/>
    </row>
    <row r="17" ht="12.75" customHeight="1">
      <c r="B17" s="1"/>
      <c r="C17" s="1"/>
      <c r="D17" s="6"/>
    </row>
    <row r="18" ht="12.75" customHeight="1">
      <c r="D18" s="6"/>
    </row>
    <row r="19" ht="12.75" customHeight="1">
      <c r="C19" s="1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.75"/>
    <col customWidth="1" min="3" max="3" width="8.13"/>
    <col customWidth="1" min="4" max="4" width="6.25"/>
    <col customWidth="1" min="5" max="5" width="10.25"/>
    <col customWidth="1" min="6" max="6" width="7.25"/>
    <col customWidth="1" min="7" max="7" width="3.75"/>
    <col customWidth="1" min="8" max="8" width="8.63"/>
    <col customWidth="1" min="9" max="9" width="6.63"/>
    <col customWidth="1" min="10" max="26" width="8.63"/>
  </cols>
  <sheetData>
    <row r="1" ht="12.75" customHeight="1"/>
    <row r="2" ht="12.75" customHeight="1">
      <c r="B2" s="8" t="s">
        <v>17</v>
      </c>
      <c r="G2" s="8" t="s">
        <v>17</v>
      </c>
    </row>
    <row r="3" ht="12.75" customHeight="1">
      <c r="B3" s="8" t="s">
        <v>18</v>
      </c>
      <c r="G3" s="8" t="s">
        <v>19</v>
      </c>
    </row>
    <row r="4" ht="12.75" customHeight="1"/>
    <row r="5" ht="12.75" customHeight="1">
      <c r="B5" s="9" t="s">
        <v>2</v>
      </c>
      <c r="C5" s="9">
        <v>1000.0</v>
      </c>
      <c r="G5" s="9" t="s">
        <v>2</v>
      </c>
      <c r="H5" s="9">
        <f t="shared" ref="H5:H6" si="1">C5</f>
        <v>1000</v>
      </c>
    </row>
    <row r="6" ht="12.75" customHeight="1">
      <c r="B6" s="9" t="s">
        <v>7</v>
      </c>
      <c r="C6" s="5">
        <v>0.1</v>
      </c>
      <c r="D6" s="9"/>
      <c r="E6" s="5"/>
      <c r="G6" s="9" t="s">
        <v>7</v>
      </c>
      <c r="H6" s="5">
        <f t="shared" si="1"/>
        <v>0.1</v>
      </c>
      <c r="I6" s="4"/>
      <c r="J6" s="5"/>
    </row>
    <row r="7" ht="12.75" customHeight="1">
      <c r="B7" s="9"/>
      <c r="C7" s="9"/>
      <c r="D7" s="9"/>
      <c r="E7" s="5"/>
      <c r="G7" s="9"/>
      <c r="H7" s="9"/>
      <c r="I7" s="9"/>
      <c r="J7" s="5"/>
    </row>
    <row r="8" ht="12.75" customHeight="1">
      <c r="B8" s="10" t="s">
        <v>20</v>
      </c>
      <c r="C8" s="10" t="s">
        <v>21</v>
      </c>
      <c r="D8" s="10" t="s">
        <v>22</v>
      </c>
      <c r="E8" s="11" t="s">
        <v>23</v>
      </c>
      <c r="G8" s="10" t="s">
        <v>20</v>
      </c>
      <c r="H8" s="10" t="s">
        <v>21</v>
      </c>
      <c r="I8" s="10" t="s">
        <v>22</v>
      </c>
      <c r="J8" s="11" t="s">
        <v>23</v>
      </c>
    </row>
    <row r="9" ht="12.75" customHeight="1">
      <c r="B9" s="12">
        <v>0.0</v>
      </c>
      <c r="C9" s="13">
        <f>C5</f>
        <v>1000</v>
      </c>
      <c r="D9" s="13"/>
      <c r="E9" s="14"/>
      <c r="G9" s="12">
        <v>0.0</v>
      </c>
      <c r="H9" s="9">
        <f>H5</f>
        <v>1000</v>
      </c>
      <c r="I9" s="13"/>
      <c r="J9" s="14"/>
    </row>
    <row r="10" ht="12.75" customHeight="1">
      <c r="B10" s="12">
        <v>1.0</v>
      </c>
      <c r="C10" s="9">
        <f>C5+D10</f>
        <v>1100</v>
      </c>
      <c r="D10" s="9">
        <f t="shared" ref="D10:D14" si="2">$C$6*$C$5</f>
        <v>100</v>
      </c>
      <c r="E10" s="9">
        <f>D10</f>
        <v>100</v>
      </c>
      <c r="G10" s="12">
        <v>1.0</v>
      </c>
      <c r="H10" s="9">
        <f t="shared" ref="H10:H14" si="3">H9+I10</f>
        <v>1100</v>
      </c>
      <c r="I10" s="9">
        <f t="shared" ref="I10:I14" si="4">$H$6*H9</f>
        <v>100</v>
      </c>
      <c r="J10" s="9">
        <f>I10</f>
        <v>100</v>
      </c>
    </row>
    <row r="11" ht="12.75" customHeight="1">
      <c r="B11" s="12">
        <v>2.0</v>
      </c>
      <c r="C11" s="9">
        <f t="shared" ref="C11:C14" si="5">C10+D11</f>
        <v>1200</v>
      </c>
      <c r="D11" s="9">
        <f t="shared" si="2"/>
        <v>100</v>
      </c>
      <c r="E11" s="9">
        <f t="shared" ref="E11:E14" si="6">D11+E10</f>
        <v>200</v>
      </c>
      <c r="G11" s="12">
        <v>2.0</v>
      </c>
      <c r="H11" s="9">
        <f t="shared" si="3"/>
        <v>1210</v>
      </c>
      <c r="I11" s="9">
        <f t="shared" si="4"/>
        <v>110</v>
      </c>
      <c r="J11" s="9">
        <f t="shared" ref="J11:J14" si="7">I11+J10</f>
        <v>210</v>
      </c>
    </row>
    <row r="12" ht="12.75" customHeight="1">
      <c r="B12" s="12">
        <v>3.0</v>
      </c>
      <c r="C12" s="9">
        <f t="shared" si="5"/>
        <v>1300</v>
      </c>
      <c r="D12" s="9">
        <f t="shared" si="2"/>
        <v>100</v>
      </c>
      <c r="E12" s="9">
        <f t="shared" si="6"/>
        <v>300</v>
      </c>
      <c r="G12" s="12">
        <v>3.0</v>
      </c>
      <c r="H12" s="9">
        <f t="shared" si="3"/>
        <v>1331</v>
      </c>
      <c r="I12" s="9">
        <f t="shared" si="4"/>
        <v>121</v>
      </c>
      <c r="J12" s="9">
        <f t="shared" si="7"/>
        <v>331</v>
      </c>
    </row>
    <row r="13" ht="12.75" customHeight="1">
      <c r="B13" s="12">
        <v>4.0</v>
      </c>
      <c r="C13" s="9">
        <f t="shared" si="5"/>
        <v>1400</v>
      </c>
      <c r="D13" s="9">
        <f t="shared" si="2"/>
        <v>100</v>
      </c>
      <c r="E13" s="9">
        <f t="shared" si="6"/>
        <v>400</v>
      </c>
      <c r="G13" s="12">
        <v>4.0</v>
      </c>
      <c r="H13" s="9">
        <f t="shared" si="3"/>
        <v>1464.1</v>
      </c>
      <c r="I13" s="9">
        <f t="shared" si="4"/>
        <v>133.1</v>
      </c>
      <c r="J13" s="9">
        <f t="shared" si="7"/>
        <v>464.1</v>
      </c>
    </row>
    <row r="14" ht="12.75" customHeight="1">
      <c r="B14" s="12">
        <v>5.0</v>
      </c>
      <c r="C14" s="9">
        <f t="shared" si="5"/>
        <v>1500</v>
      </c>
      <c r="D14" s="9">
        <f t="shared" si="2"/>
        <v>100</v>
      </c>
      <c r="E14" s="15">
        <f t="shared" si="6"/>
        <v>500</v>
      </c>
      <c r="G14" s="12">
        <v>5.0</v>
      </c>
      <c r="H14" s="9">
        <f t="shared" si="3"/>
        <v>1610.51</v>
      </c>
      <c r="I14" s="9">
        <f t="shared" si="4"/>
        <v>146.41</v>
      </c>
      <c r="J14" s="15">
        <f t="shared" si="7"/>
        <v>610.51</v>
      </c>
    </row>
    <row r="15" ht="12.75" customHeight="1">
      <c r="B15" s="12"/>
      <c r="C15" s="9"/>
      <c r="D15" s="9"/>
      <c r="E15" s="9"/>
      <c r="G15" s="12"/>
      <c r="H15" s="9"/>
      <c r="I15" s="9"/>
      <c r="J15" s="9"/>
    </row>
    <row r="16" ht="12.75" customHeight="1">
      <c r="B16" s="12"/>
      <c r="C16" s="9"/>
      <c r="D16" s="9"/>
      <c r="E16" s="9"/>
      <c r="G16" s="12"/>
      <c r="H16" s="9"/>
      <c r="I16" s="9"/>
      <c r="J16" s="9"/>
    </row>
    <row r="17" ht="12.75" customHeight="1">
      <c r="B17" s="12"/>
      <c r="C17" s="9"/>
      <c r="D17" s="9"/>
      <c r="E17" s="9"/>
      <c r="G17" s="12"/>
      <c r="H17" s="9"/>
      <c r="I17" s="9"/>
      <c r="J17" s="9"/>
    </row>
    <row r="18" ht="12.75" customHeight="1">
      <c r="B18" s="12"/>
      <c r="C18" s="9"/>
      <c r="D18" s="9"/>
      <c r="E18" s="9"/>
      <c r="G18" s="12"/>
      <c r="H18" s="9"/>
      <c r="I18" s="9"/>
      <c r="J18" s="9"/>
    </row>
    <row r="19" ht="12.75" customHeight="1">
      <c r="B19" s="12"/>
      <c r="C19" s="9"/>
      <c r="D19" s="9"/>
      <c r="E19" s="9"/>
      <c r="G19" s="12"/>
      <c r="H19" s="9"/>
      <c r="I19" s="9"/>
      <c r="J19" s="9"/>
    </row>
    <row r="20" ht="12.75" customHeight="1">
      <c r="B20" s="12"/>
      <c r="C20" s="9"/>
      <c r="D20" s="9"/>
      <c r="E20" s="9"/>
      <c r="G20" s="12"/>
      <c r="H20" s="9"/>
      <c r="I20" s="9"/>
      <c r="J20" s="9"/>
    </row>
    <row r="21" ht="12.75" customHeight="1">
      <c r="B21" s="12"/>
      <c r="C21" s="9"/>
      <c r="D21" s="9"/>
      <c r="E21" s="9"/>
      <c r="G21" s="12"/>
      <c r="H21" s="9"/>
      <c r="I21" s="9"/>
      <c r="J21" s="9"/>
    </row>
    <row r="22" ht="12.75" customHeight="1">
      <c r="B22" s="12"/>
      <c r="C22" s="9"/>
      <c r="D22" s="9"/>
      <c r="E22" s="9"/>
      <c r="G22" s="12"/>
      <c r="H22" s="9"/>
      <c r="I22" s="9"/>
      <c r="J22" s="9"/>
    </row>
    <row r="23" ht="12.75" customHeight="1">
      <c r="B23" s="12"/>
      <c r="C23" s="9"/>
      <c r="D23" s="9"/>
      <c r="E23" s="9"/>
      <c r="G23" s="12"/>
      <c r="H23" s="9"/>
      <c r="I23" s="9"/>
      <c r="J23" s="9"/>
    </row>
    <row r="24" ht="12.75" customHeight="1">
      <c r="B24" s="12"/>
      <c r="C24" s="9"/>
      <c r="D24" s="9"/>
      <c r="E24" s="9"/>
      <c r="G24" s="12"/>
      <c r="H24" s="9"/>
      <c r="I24" s="9"/>
      <c r="J24" s="9"/>
    </row>
    <row r="25" ht="12.75" customHeight="1">
      <c r="B25" s="12"/>
      <c r="C25" s="9"/>
      <c r="D25" s="9"/>
      <c r="E25" s="9"/>
      <c r="G25" s="12"/>
      <c r="H25" s="9"/>
      <c r="I25" s="9"/>
      <c r="J25" s="9"/>
    </row>
    <row r="26" ht="12.75" customHeight="1">
      <c r="B26" s="12"/>
      <c r="C26" s="9"/>
      <c r="D26" s="9"/>
      <c r="E26" s="9"/>
      <c r="G26" s="12"/>
      <c r="H26" s="9"/>
      <c r="I26" s="9"/>
      <c r="J26" s="9"/>
    </row>
    <row r="27" ht="12.75" customHeight="1">
      <c r="B27" s="12"/>
      <c r="C27" s="9"/>
      <c r="D27" s="9"/>
      <c r="E27" s="9"/>
      <c r="G27" s="12"/>
      <c r="H27" s="9"/>
      <c r="I27" s="9"/>
      <c r="J27" s="9"/>
    </row>
    <row r="28" ht="12.75" customHeight="1">
      <c r="B28" s="12"/>
      <c r="C28" s="9"/>
      <c r="D28" s="9"/>
      <c r="E28" s="9"/>
      <c r="G28" s="12"/>
      <c r="H28" s="9"/>
      <c r="I28" s="9"/>
      <c r="J28" s="9"/>
    </row>
    <row r="29" ht="12.75" customHeight="1">
      <c r="B29" s="12"/>
      <c r="C29" s="9"/>
      <c r="D29" s="9"/>
      <c r="E29" s="9"/>
      <c r="G29" s="12"/>
      <c r="H29" s="9"/>
      <c r="I29" s="9"/>
      <c r="J29" s="9"/>
    </row>
    <row r="30" ht="12.75" customHeight="1">
      <c r="B30" s="12"/>
      <c r="C30" s="9"/>
      <c r="D30" s="9"/>
      <c r="E30" s="9"/>
      <c r="G30" s="12"/>
      <c r="H30" s="9"/>
      <c r="I30" s="9"/>
      <c r="J30" s="9"/>
    </row>
    <row r="31" ht="12.75" customHeight="1">
      <c r="B31" s="12"/>
      <c r="C31" s="9"/>
      <c r="D31" s="9"/>
      <c r="E31" s="9"/>
      <c r="G31" s="12"/>
      <c r="H31" s="9"/>
      <c r="I31" s="9"/>
      <c r="J31" s="9"/>
    </row>
    <row r="32" ht="12.75" customHeight="1">
      <c r="B32" s="12"/>
      <c r="C32" s="9"/>
      <c r="D32" s="9"/>
      <c r="E32" s="9"/>
      <c r="G32" s="12"/>
      <c r="H32" s="9"/>
      <c r="I32" s="9"/>
      <c r="J32" s="9"/>
    </row>
    <row r="33" ht="12.75" customHeight="1">
      <c r="B33" s="12"/>
      <c r="C33" s="9"/>
      <c r="D33" s="9"/>
      <c r="E33" s="9"/>
      <c r="G33" s="12"/>
      <c r="H33" s="9"/>
      <c r="I33" s="9"/>
      <c r="J33" s="9"/>
    </row>
    <row r="34" ht="12.75" customHeight="1">
      <c r="B34" s="12"/>
      <c r="C34" s="9"/>
      <c r="D34" s="9"/>
      <c r="E34" s="9"/>
      <c r="G34" s="12"/>
      <c r="H34" s="9"/>
      <c r="I34" s="9"/>
      <c r="J34" s="9"/>
    </row>
    <row r="35" ht="12.75" customHeight="1">
      <c r="B35" s="12"/>
      <c r="C35" s="9"/>
      <c r="D35" s="9"/>
      <c r="E35" s="9"/>
      <c r="G35" s="12"/>
      <c r="H35" s="9"/>
      <c r="I35" s="9"/>
      <c r="J35" s="9"/>
    </row>
    <row r="36" ht="12.75" customHeight="1">
      <c r="D36" s="9"/>
      <c r="G36" s="9"/>
      <c r="H36" s="9"/>
      <c r="I36" s="9"/>
      <c r="J36" s="9"/>
    </row>
    <row r="37" ht="12.75" customHeight="1">
      <c r="A37" s="9"/>
    </row>
    <row r="38" ht="12.75" customHeight="1">
      <c r="A38" s="9"/>
    </row>
    <row r="39" ht="12.75" customHeight="1">
      <c r="A39" s="9"/>
    </row>
    <row r="40" ht="12.75" customHeight="1">
      <c r="A40" s="9"/>
    </row>
    <row r="41" ht="12.75" customHeight="1">
      <c r="A41" s="9"/>
    </row>
    <row r="42" ht="12.75" customHeight="1">
      <c r="A42" s="9"/>
    </row>
    <row r="43" ht="12.75" customHeight="1">
      <c r="A43" s="9"/>
    </row>
    <row r="44" ht="12.75" customHeight="1">
      <c r="A44" s="9"/>
    </row>
    <row r="45" ht="12.75" customHeight="1">
      <c r="A45" s="9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C6 E6:E9 H6 J6:J9">
    <cfRule type="cellIs" dxfId="0" priority="1" operator="lessThan">
      <formula>0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.75"/>
    <col customWidth="1" min="3" max="3" width="10.13"/>
    <col customWidth="1" min="4" max="4" width="8.13"/>
    <col customWidth="1" min="5" max="5" width="10.25"/>
    <col customWidth="1" min="6" max="6" width="7.25"/>
    <col customWidth="1" min="7" max="7" width="3.75"/>
    <col customWidth="1" min="8" max="8" width="10.13"/>
    <col customWidth="1" min="9" max="9" width="9.13"/>
    <col customWidth="1" min="10" max="10" width="10.25"/>
    <col customWidth="1" min="11" max="26" width="8.63"/>
  </cols>
  <sheetData>
    <row r="1" ht="12.75" customHeight="1"/>
    <row r="2" ht="12.75" customHeight="1">
      <c r="B2" s="8" t="s">
        <v>17</v>
      </c>
      <c r="G2" s="8" t="s">
        <v>17</v>
      </c>
    </row>
    <row r="3" ht="12.75" customHeight="1">
      <c r="B3" s="8" t="s">
        <v>18</v>
      </c>
      <c r="G3" s="8" t="s">
        <v>19</v>
      </c>
    </row>
    <row r="4" ht="12.75" customHeight="1"/>
    <row r="5" ht="12.75" customHeight="1">
      <c r="B5" s="9" t="s">
        <v>2</v>
      </c>
      <c r="C5" s="9">
        <v>100000.0</v>
      </c>
      <c r="G5" s="9" t="s">
        <v>2</v>
      </c>
      <c r="H5" s="9">
        <f t="shared" ref="H5:H6" si="1">C5</f>
        <v>100000</v>
      </c>
    </row>
    <row r="6" ht="12.75" customHeight="1">
      <c r="B6" s="9" t="s">
        <v>7</v>
      </c>
      <c r="C6" s="5">
        <v>0.05</v>
      </c>
      <c r="D6" s="9"/>
      <c r="E6" s="5"/>
      <c r="G6" s="9" t="s">
        <v>7</v>
      </c>
      <c r="H6" s="5">
        <f t="shared" si="1"/>
        <v>0.05</v>
      </c>
      <c r="I6" s="9"/>
      <c r="J6" s="5"/>
    </row>
    <row r="7" ht="12.75" customHeight="1">
      <c r="B7" s="9"/>
      <c r="C7" s="9"/>
      <c r="D7" s="9"/>
      <c r="E7" s="5"/>
      <c r="G7" s="9"/>
      <c r="H7" s="9"/>
      <c r="I7" s="9"/>
      <c r="J7" s="5"/>
    </row>
    <row r="8" ht="12.75" customHeight="1">
      <c r="B8" s="10" t="s">
        <v>20</v>
      </c>
      <c r="C8" s="10" t="s">
        <v>21</v>
      </c>
      <c r="D8" s="10" t="s">
        <v>22</v>
      </c>
      <c r="E8" s="11" t="s">
        <v>23</v>
      </c>
      <c r="G8" s="10" t="s">
        <v>20</v>
      </c>
      <c r="H8" s="10" t="s">
        <v>21</v>
      </c>
      <c r="I8" s="10" t="s">
        <v>22</v>
      </c>
      <c r="J8" s="11" t="s">
        <v>23</v>
      </c>
    </row>
    <row r="9" ht="12.75" customHeight="1">
      <c r="B9" s="12">
        <v>0.0</v>
      </c>
      <c r="C9" s="13">
        <f>C5</f>
        <v>100000</v>
      </c>
      <c r="D9" s="13"/>
      <c r="E9" s="14"/>
      <c r="G9" s="12">
        <v>0.0</v>
      </c>
      <c r="H9" s="9">
        <f>H5</f>
        <v>100000</v>
      </c>
      <c r="I9" s="13"/>
      <c r="J9" s="14"/>
    </row>
    <row r="10" ht="12.75" customHeight="1">
      <c r="B10" s="12">
        <v>1.0</v>
      </c>
      <c r="C10" s="9">
        <f>C5+D10</f>
        <v>105000</v>
      </c>
      <c r="D10" s="9">
        <f>$C$6*$C$5</f>
        <v>5000</v>
      </c>
      <c r="E10" s="9">
        <f>D10</f>
        <v>5000</v>
      </c>
      <c r="G10" s="12">
        <v>1.0</v>
      </c>
      <c r="H10" s="9">
        <f>H5*(1+$H$6)</f>
        <v>105000</v>
      </c>
      <c r="I10" s="9">
        <f>H10-H5</f>
        <v>5000</v>
      </c>
      <c r="J10" s="9">
        <f>I10</f>
        <v>5000</v>
      </c>
    </row>
    <row r="11" ht="12.75" customHeight="1">
      <c r="B11" s="12">
        <v>2.0</v>
      </c>
      <c r="C11" s="9">
        <f t="shared" ref="C11:C34" si="2">C10+D11</f>
        <v>110000</v>
      </c>
      <c r="D11" s="9">
        <f t="shared" ref="D11:D34" si="3">D10</f>
        <v>5000</v>
      </c>
      <c r="E11" s="9">
        <f t="shared" ref="E11:E34" si="4">D11+E10</f>
        <v>10000</v>
      </c>
      <c r="G11" s="12">
        <v>2.0</v>
      </c>
      <c r="H11" s="9">
        <f t="shared" ref="H11:H34" si="5">H10*(1+$H$6)</f>
        <v>110250</v>
      </c>
      <c r="I11" s="9">
        <f t="shared" ref="I11:I34" si="6">H11-H10</f>
        <v>5250</v>
      </c>
      <c r="J11" s="9">
        <f t="shared" ref="J11:J34" si="7">I11+J10</f>
        <v>10250</v>
      </c>
    </row>
    <row r="12" ht="12.75" customHeight="1">
      <c r="B12" s="12">
        <v>3.0</v>
      </c>
      <c r="C12" s="9">
        <f t="shared" si="2"/>
        <v>115000</v>
      </c>
      <c r="D12" s="9">
        <f t="shared" si="3"/>
        <v>5000</v>
      </c>
      <c r="E12" s="9">
        <f t="shared" si="4"/>
        <v>15000</v>
      </c>
      <c r="G12" s="12">
        <v>3.0</v>
      </c>
      <c r="H12" s="9">
        <f t="shared" si="5"/>
        <v>115762.5</v>
      </c>
      <c r="I12" s="9">
        <f t="shared" si="6"/>
        <v>5512.5</v>
      </c>
      <c r="J12" s="9">
        <f t="shared" si="7"/>
        <v>15762.5</v>
      </c>
    </row>
    <row r="13" ht="12.75" customHeight="1">
      <c r="B13" s="12">
        <v>4.0</v>
      </c>
      <c r="C13" s="9">
        <f t="shared" si="2"/>
        <v>120000</v>
      </c>
      <c r="D13" s="9">
        <f t="shared" si="3"/>
        <v>5000</v>
      </c>
      <c r="E13" s="9">
        <f t="shared" si="4"/>
        <v>20000</v>
      </c>
      <c r="G13" s="12">
        <v>4.0</v>
      </c>
      <c r="H13" s="9">
        <f t="shared" si="5"/>
        <v>121550.625</v>
      </c>
      <c r="I13" s="9">
        <f t="shared" si="6"/>
        <v>5788.125</v>
      </c>
      <c r="J13" s="9">
        <f t="shared" si="7"/>
        <v>21550.625</v>
      </c>
    </row>
    <row r="14" ht="12.75" customHeight="1">
      <c r="B14" s="12">
        <v>5.0</v>
      </c>
      <c r="C14" s="9">
        <f t="shared" si="2"/>
        <v>125000</v>
      </c>
      <c r="D14" s="9">
        <f t="shared" si="3"/>
        <v>5000</v>
      </c>
      <c r="E14" s="9">
        <f t="shared" si="4"/>
        <v>25000</v>
      </c>
      <c r="G14" s="12">
        <v>5.0</v>
      </c>
      <c r="H14" s="9">
        <f t="shared" si="5"/>
        <v>127628.1563</v>
      </c>
      <c r="I14" s="9">
        <f t="shared" si="6"/>
        <v>6077.53125</v>
      </c>
      <c r="J14" s="9">
        <f t="shared" si="7"/>
        <v>27628.15625</v>
      </c>
    </row>
    <row r="15" ht="12.75" customHeight="1">
      <c r="B15" s="12">
        <v>6.0</v>
      </c>
      <c r="C15" s="9">
        <f t="shared" si="2"/>
        <v>130000</v>
      </c>
      <c r="D15" s="9">
        <f t="shared" si="3"/>
        <v>5000</v>
      </c>
      <c r="E15" s="9">
        <f t="shared" si="4"/>
        <v>30000</v>
      </c>
      <c r="G15" s="12">
        <v>6.0</v>
      </c>
      <c r="H15" s="9">
        <f t="shared" si="5"/>
        <v>134009.5641</v>
      </c>
      <c r="I15" s="9">
        <f t="shared" si="6"/>
        <v>6381.407812</v>
      </c>
      <c r="J15" s="9">
        <f t="shared" si="7"/>
        <v>34009.56406</v>
      </c>
    </row>
    <row r="16" ht="12.75" customHeight="1">
      <c r="B16" s="12">
        <v>7.0</v>
      </c>
      <c r="C16" s="9">
        <f t="shared" si="2"/>
        <v>135000</v>
      </c>
      <c r="D16" s="9">
        <f t="shared" si="3"/>
        <v>5000</v>
      </c>
      <c r="E16" s="9">
        <f t="shared" si="4"/>
        <v>35000</v>
      </c>
      <c r="G16" s="12">
        <v>7.0</v>
      </c>
      <c r="H16" s="9">
        <f t="shared" si="5"/>
        <v>140710.0423</v>
      </c>
      <c r="I16" s="9">
        <f t="shared" si="6"/>
        <v>6700.478203</v>
      </c>
      <c r="J16" s="9">
        <f t="shared" si="7"/>
        <v>40710.04227</v>
      </c>
    </row>
    <row r="17" ht="12.75" customHeight="1">
      <c r="B17" s="12">
        <v>8.0</v>
      </c>
      <c r="C17" s="9">
        <f t="shared" si="2"/>
        <v>140000</v>
      </c>
      <c r="D17" s="9">
        <f t="shared" si="3"/>
        <v>5000</v>
      </c>
      <c r="E17" s="9">
        <f t="shared" si="4"/>
        <v>40000</v>
      </c>
      <c r="G17" s="12">
        <v>8.0</v>
      </c>
      <c r="H17" s="9">
        <f t="shared" si="5"/>
        <v>147745.5444</v>
      </c>
      <c r="I17" s="9">
        <f t="shared" si="6"/>
        <v>7035.502113</v>
      </c>
      <c r="J17" s="9">
        <f t="shared" si="7"/>
        <v>47745.54438</v>
      </c>
    </row>
    <row r="18" ht="12.75" customHeight="1">
      <c r="B18" s="12">
        <v>9.0</v>
      </c>
      <c r="C18" s="9">
        <f t="shared" si="2"/>
        <v>145000</v>
      </c>
      <c r="D18" s="9">
        <f t="shared" si="3"/>
        <v>5000</v>
      </c>
      <c r="E18" s="9">
        <f t="shared" si="4"/>
        <v>45000</v>
      </c>
      <c r="G18" s="12">
        <v>9.0</v>
      </c>
      <c r="H18" s="9">
        <f t="shared" si="5"/>
        <v>155132.8216</v>
      </c>
      <c r="I18" s="9">
        <f t="shared" si="6"/>
        <v>7387.277219</v>
      </c>
      <c r="J18" s="9">
        <f t="shared" si="7"/>
        <v>55132.8216</v>
      </c>
    </row>
    <row r="19" ht="12.75" customHeight="1">
      <c r="B19" s="12">
        <v>10.0</v>
      </c>
      <c r="C19" s="9">
        <f t="shared" si="2"/>
        <v>150000</v>
      </c>
      <c r="D19" s="9">
        <f t="shared" si="3"/>
        <v>5000</v>
      </c>
      <c r="E19" s="9">
        <f t="shared" si="4"/>
        <v>50000</v>
      </c>
      <c r="G19" s="12">
        <v>10.0</v>
      </c>
      <c r="H19" s="9">
        <f t="shared" si="5"/>
        <v>162889.4627</v>
      </c>
      <c r="I19" s="9">
        <f t="shared" si="6"/>
        <v>7756.64108</v>
      </c>
      <c r="J19" s="9">
        <f t="shared" si="7"/>
        <v>62889.46268</v>
      </c>
    </row>
    <row r="20" ht="12.75" customHeight="1">
      <c r="B20" s="12">
        <v>11.0</v>
      </c>
      <c r="C20" s="9">
        <f t="shared" si="2"/>
        <v>155000</v>
      </c>
      <c r="D20" s="9">
        <f t="shared" si="3"/>
        <v>5000</v>
      </c>
      <c r="E20" s="9">
        <f t="shared" si="4"/>
        <v>55000</v>
      </c>
      <c r="G20" s="12">
        <v>11.0</v>
      </c>
      <c r="H20" s="9">
        <f t="shared" si="5"/>
        <v>171033.9358</v>
      </c>
      <c r="I20" s="9">
        <f t="shared" si="6"/>
        <v>8144.473134</v>
      </c>
      <c r="J20" s="9">
        <f t="shared" si="7"/>
        <v>71033.93581</v>
      </c>
    </row>
    <row r="21" ht="12.75" customHeight="1">
      <c r="B21" s="12">
        <v>12.0</v>
      </c>
      <c r="C21" s="9">
        <f t="shared" si="2"/>
        <v>160000</v>
      </c>
      <c r="D21" s="9">
        <f t="shared" si="3"/>
        <v>5000</v>
      </c>
      <c r="E21" s="9">
        <f t="shared" si="4"/>
        <v>60000</v>
      </c>
      <c r="G21" s="12">
        <v>12.0</v>
      </c>
      <c r="H21" s="9">
        <f t="shared" si="5"/>
        <v>179585.6326</v>
      </c>
      <c r="I21" s="9">
        <f t="shared" si="6"/>
        <v>8551.696791</v>
      </c>
      <c r="J21" s="9">
        <f t="shared" si="7"/>
        <v>79585.6326</v>
      </c>
    </row>
    <row r="22" ht="12.75" customHeight="1">
      <c r="B22" s="12">
        <v>13.0</v>
      </c>
      <c r="C22" s="9">
        <f t="shared" si="2"/>
        <v>165000</v>
      </c>
      <c r="D22" s="9">
        <f t="shared" si="3"/>
        <v>5000</v>
      </c>
      <c r="E22" s="9">
        <f t="shared" si="4"/>
        <v>65000</v>
      </c>
      <c r="G22" s="12">
        <v>13.0</v>
      </c>
      <c r="H22" s="9">
        <f t="shared" si="5"/>
        <v>188564.9142</v>
      </c>
      <c r="I22" s="9">
        <f t="shared" si="6"/>
        <v>8979.28163</v>
      </c>
      <c r="J22" s="9">
        <f t="shared" si="7"/>
        <v>88564.91423</v>
      </c>
    </row>
    <row r="23" ht="12.75" customHeight="1">
      <c r="B23" s="12">
        <v>14.0</v>
      </c>
      <c r="C23" s="9">
        <f t="shared" si="2"/>
        <v>170000</v>
      </c>
      <c r="D23" s="9">
        <f t="shared" si="3"/>
        <v>5000</v>
      </c>
      <c r="E23" s="9">
        <f t="shared" si="4"/>
        <v>70000</v>
      </c>
      <c r="G23" s="12">
        <v>14.0</v>
      </c>
      <c r="H23" s="9">
        <f t="shared" si="5"/>
        <v>197993.1599</v>
      </c>
      <c r="I23" s="9">
        <f t="shared" si="6"/>
        <v>9428.245712</v>
      </c>
      <c r="J23" s="9">
        <f t="shared" si="7"/>
        <v>97993.15994</v>
      </c>
    </row>
    <row r="24" ht="12.75" customHeight="1">
      <c r="B24" s="12">
        <v>15.0</v>
      </c>
      <c r="C24" s="9">
        <f t="shared" si="2"/>
        <v>175000</v>
      </c>
      <c r="D24" s="9">
        <f t="shared" si="3"/>
        <v>5000</v>
      </c>
      <c r="E24" s="9">
        <f t="shared" si="4"/>
        <v>75000</v>
      </c>
      <c r="G24" s="12">
        <v>15.0</v>
      </c>
      <c r="H24" s="9">
        <f t="shared" si="5"/>
        <v>207892.8179</v>
      </c>
      <c r="I24" s="9">
        <f t="shared" si="6"/>
        <v>9899.657997</v>
      </c>
      <c r="J24" s="9">
        <f t="shared" si="7"/>
        <v>107892.8179</v>
      </c>
    </row>
    <row r="25" ht="12.75" customHeight="1">
      <c r="B25" s="12">
        <v>16.0</v>
      </c>
      <c r="C25" s="9">
        <f t="shared" si="2"/>
        <v>180000</v>
      </c>
      <c r="D25" s="9">
        <f t="shared" si="3"/>
        <v>5000</v>
      </c>
      <c r="E25" s="9">
        <f t="shared" si="4"/>
        <v>80000</v>
      </c>
      <c r="G25" s="12">
        <v>16.0</v>
      </c>
      <c r="H25" s="9">
        <f t="shared" si="5"/>
        <v>218287.4588</v>
      </c>
      <c r="I25" s="9">
        <f t="shared" si="6"/>
        <v>10394.6409</v>
      </c>
      <c r="J25" s="9">
        <f t="shared" si="7"/>
        <v>118287.4588</v>
      </c>
    </row>
    <row r="26" ht="12.75" customHeight="1">
      <c r="B26" s="12">
        <v>17.0</v>
      </c>
      <c r="C26" s="9">
        <f t="shared" si="2"/>
        <v>185000</v>
      </c>
      <c r="D26" s="9">
        <f t="shared" si="3"/>
        <v>5000</v>
      </c>
      <c r="E26" s="9">
        <f t="shared" si="4"/>
        <v>85000</v>
      </c>
      <c r="G26" s="12">
        <v>17.0</v>
      </c>
      <c r="H26" s="9">
        <f t="shared" si="5"/>
        <v>229201.8318</v>
      </c>
      <c r="I26" s="9">
        <f t="shared" si="6"/>
        <v>10914.37294</v>
      </c>
      <c r="J26" s="9">
        <f t="shared" si="7"/>
        <v>129201.8318</v>
      </c>
    </row>
    <row r="27" ht="12.75" customHeight="1">
      <c r="B27" s="12">
        <v>18.0</v>
      </c>
      <c r="C27" s="9">
        <f t="shared" si="2"/>
        <v>190000</v>
      </c>
      <c r="D27" s="9">
        <f t="shared" si="3"/>
        <v>5000</v>
      </c>
      <c r="E27" s="9">
        <f t="shared" si="4"/>
        <v>90000</v>
      </c>
      <c r="G27" s="12">
        <v>18.0</v>
      </c>
      <c r="H27" s="9">
        <f t="shared" si="5"/>
        <v>240661.9234</v>
      </c>
      <c r="I27" s="9">
        <f t="shared" si="6"/>
        <v>11460.09159</v>
      </c>
      <c r="J27" s="9">
        <f t="shared" si="7"/>
        <v>140661.9234</v>
      </c>
    </row>
    <row r="28" ht="12.75" customHeight="1">
      <c r="B28" s="12">
        <f t="shared" ref="B28:B34" si="8">B27+1</f>
        <v>19</v>
      </c>
      <c r="C28" s="9">
        <f t="shared" si="2"/>
        <v>195000</v>
      </c>
      <c r="D28" s="9">
        <f t="shared" si="3"/>
        <v>5000</v>
      </c>
      <c r="E28" s="9">
        <f t="shared" si="4"/>
        <v>95000</v>
      </c>
      <c r="G28" s="12">
        <f t="shared" ref="G28:G34" si="9">G27+1</f>
        <v>19</v>
      </c>
      <c r="H28" s="9">
        <f t="shared" si="5"/>
        <v>252695.0195</v>
      </c>
      <c r="I28" s="9">
        <f t="shared" si="6"/>
        <v>12033.09617</v>
      </c>
      <c r="J28" s="9">
        <f t="shared" si="7"/>
        <v>152695.0195</v>
      </c>
    </row>
    <row r="29" ht="12.75" customHeight="1">
      <c r="B29" s="12">
        <f t="shared" si="8"/>
        <v>20</v>
      </c>
      <c r="C29" s="9">
        <f t="shared" si="2"/>
        <v>200000</v>
      </c>
      <c r="D29" s="9">
        <f t="shared" si="3"/>
        <v>5000</v>
      </c>
      <c r="E29" s="9">
        <f t="shared" si="4"/>
        <v>100000</v>
      </c>
      <c r="G29" s="12">
        <f t="shared" si="9"/>
        <v>20</v>
      </c>
      <c r="H29" s="9">
        <f t="shared" si="5"/>
        <v>265329.7705</v>
      </c>
      <c r="I29" s="9">
        <f t="shared" si="6"/>
        <v>12634.75098</v>
      </c>
      <c r="J29" s="9">
        <f t="shared" si="7"/>
        <v>165329.7705</v>
      </c>
    </row>
    <row r="30" ht="12.75" customHeight="1">
      <c r="B30" s="12">
        <f t="shared" si="8"/>
        <v>21</v>
      </c>
      <c r="C30" s="9">
        <f t="shared" si="2"/>
        <v>205000</v>
      </c>
      <c r="D30" s="9">
        <f t="shared" si="3"/>
        <v>5000</v>
      </c>
      <c r="E30" s="9">
        <f t="shared" si="4"/>
        <v>105000</v>
      </c>
      <c r="G30" s="12">
        <f t="shared" si="9"/>
        <v>21</v>
      </c>
      <c r="H30" s="9">
        <f t="shared" si="5"/>
        <v>278596.259</v>
      </c>
      <c r="I30" s="9">
        <f t="shared" si="6"/>
        <v>13266.48853</v>
      </c>
      <c r="J30" s="9">
        <f t="shared" si="7"/>
        <v>178596.259</v>
      </c>
    </row>
    <row r="31" ht="12.75" customHeight="1">
      <c r="B31" s="12">
        <f t="shared" si="8"/>
        <v>22</v>
      </c>
      <c r="C31" s="9">
        <f t="shared" si="2"/>
        <v>210000</v>
      </c>
      <c r="D31" s="9">
        <f t="shared" si="3"/>
        <v>5000</v>
      </c>
      <c r="E31" s="9">
        <f t="shared" si="4"/>
        <v>110000</v>
      </c>
      <c r="G31" s="12">
        <f t="shared" si="9"/>
        <v>22</v>
      </c>
      <c r="H31" s="9">
        <f t="shared" si="5"/>
        <v>292526.072</v>
      </c>
      <c r="I31" s="9">
        <f t="shared" si="6"/>
        <v>13929.81295</v>
      </c>
      <c r="J31" s="9">
        <f t="shared" si="7"/>
        <v>192526.072</v>
      </c>
    </row>
    <row r="32" ht="12.75" customHeight="1">
      <c r="B32" s="12">
        <f t="shared" si="8"/>
        <v>23</v>
      </c>
      <c r="C32" s="9">
        <f t="shared" si="2"/>
        <v>215000</v>
      </c>
      <c r="D32" s="9">
        <f t="shared" si="3"/>
        <v>5000</v>
      </c>
      <c r="E32" s="9">
        <f t="shared" si="4"/>
        <v>115000</v>
      </c>
      <c r="G32" s="12">
        <f t="shared" si="9"/>
        <v>23</v>
      </c>
      <c r="H32" s="9">
        <f t="shared" si="5"/>
        <v>307152.3756</v>
      </c>
      <c r="I32" s="9">
        <f t="shared" si="6"/>
        <v>14626.3036</v>
      </c>
      <c r="J32" s="9">
        <f t="shared" si="7"/>
        <v>207152.3756</v>
      </c>
    </row>
    <row r="33" ht="12.75" customHeight="1">
      <c r="B33" s="12">
        <f t="shared" si="8"/>
        <v>24</v>
      </c>
      <c r="C33" s="9">
        <f t="shared" si="2"/>
        <v>220000</v>
      </c>
      <c r="D33" s="9">
        <f t="shared" si="3"/>
        <v>5000</v>
      </c>
      <c r="E33" s="9">
        <f t="shared" si="4"/>
        <v>120000</v>
      </c>
      <c r="G33" s="12">
        <f t="shared" si="9"/>
        <v>24</v>
      </c>
      <c r="H33" s="9">
        <f t="shared" si="5"/>
        <v>322509.9944</v>
      </c>
      <c r="I33" s="9">
        <f t="shared" si="6"/>
        <v>15357.61878</v>
      </c>
      <c r="J33" s="9">
        <f t="shared" si="7"/>
        <v>222509.9944</v>
      </c>
    </row>
    <row r="34" ht="12.75" customHeight="1">
      <c r="B34" s="12">
        <f t="shared" si="8"/>
        <v>25</v>
      </c>
      <c r="C34" s="16">
        <f t="shared" si="2"/>
        <v>225000</v>
      </c>
      <c r="D34" s="9">
        <f t="shared" si="3"/>
        <v>5000</v>
      </c>
      <c r="E34" s="9">
        <f t="shared" si="4"/>
        <v>125000</v>
      </c>
      <c r="G34" s="12">
        <f t="shared" si="9"/>
        <v>25</v>
      </c>
      <c r="H34" s="16">
        <f t="shared" si="5"/>
        <v>338635.4941</v>
      </c>
      <c r="I34" s="9">
        <f t="shared" si="6"/>
        <v>16125.49972</v>
      </c>
      <c r="J34" s="9">
        <f t="shared" si="7"/>
        <v>238635.4941</v>
      </c>
    </row>
    <row r="35" ht="12.75" customHeight="1">
      <c r="B35" s="12"/>
      <c r="C35" s="9"/>
      <c r="D35" s="9"/>
      <c r="E35" s="9"/>
      <c r="G35" s="12"/>
      <c r="H35" s="9"/>
      <c r="I35" s="9"/>
      <c r="J35" s="9"/>
    </row>
    <row r="36" ht="12.75" customHeight="1">
      <c r="D36" s="9"/>
      <c r="G36" s="9"/>
      <c r="H36" s="9"/>
      <c r="I36" s="9"/>
      <c r="J36" s="9"/>
    </row>
    <row r="37" ht="12.75" customHeight="1">
      <c r="A37" s="9"/>
    </row>
    <row r="38" ht="12.75" customHeight="1">
      <c r="A38" s="9"/>
    </row>
    <row r="39" ht="12.75" customHeight="1">
      <c r="A39" s="9"/>
    </row>
    <row r="40" ht="12.75" customHeight="1">
      <c r="A40" s="9"/>
    </row>
    <row r="41" ht="12.75" customHeight="1">
      <c r="A41" s="9"/>
    </row>
    <row r="42" ht="12.75" customHeight="1">
      <c r="A42" s="9"/>
    </row>
    <row r="43" ht="12.75" customHeight="1">
      <c r="A43" s="9"/>
    </row>
    <row r="44" ht="12.75" customHeight="1">
      <c r="A44" s="9"/>
    </row>
    <row r="45" ht="12.75" customHeight="1">
      <c r="A45" s="9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C6 E6:E9 H6 J6:J9">
    <cfRule type="cellIs" dxfId="0" priority="1" operator="lessThan">
      <formula>0</formula>
    </cfRule>
  </conditionalFormatting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9" width="8.63"/>
    <col customWidth="1" min="10" max="10" width="20.63"/>
    <col customWidth="1" min="11" max="11" width="7.13"/>
    <col customWidth="1" min="12" max="26" width="8.63"/>
  </cols>
  <sheetData>
    <row r="1" ht="12.75" customHeight="1"/>
    <row r="2" ht="12.75" customHeight="1">
      <c r="A2" s="1" t="s">
        <v>24</v>
      </c>
    </row>
    <row r="3" ht="12.75" customHeight="1">
      <c r="A3" s="1" t="s">
        <v>25</v>
      </c>
    </row>
    <row r="4" ht="12.75" customHeight="1">
      <c r="A4" s="1" t="s">
        <v>26</v>
      </c>
    </row>
    <row r="5" ht="12.75" customHeight="1"/>
    <row r="6" ht="12.75" customHeight="1">
      <c r="A6" s="1" t="s">
        <v>2</v>
      </c>
      <c r="B6" s="17">
        <v>1000.0</v>
      </c>
      <c r="D6" s="1" t="s">
        <v>27</v>
      </c>
    </row>
    <row r="7" ht="12.75" customHeight="1">
      <c r="A7" s="1" t="s">
        <v>7</v>
      </c>
      <c r="B7" s="5">
        <v>0.0785</v>
      </c>
      <c r="C7" s="1" t="s">
        <v>28</v>
      </c>
      <c r="D7" s="6" t="s">
        <v>29</v>
      </c>
      <c r="E7" s="1"/>
    </row>
    <row r="8" ht="12.75" customHeight="1">
      <c r="A8" s="1" t="s">
        <v>4</v>
      </c>
      <c r="B8" s="2">
        <v>4.0</v>
      </c>
      <c r="C8" s="1" t="s">
        <v>30</v>
      </c>
      <c r="D8" s="2" t="s">
        <v>31</v>
      </c>
    </row>
    <row r="9" ht="12.75" customHeight="1"/>
    <row r="10" ht="12.75" customHeight="1">
      <c r="A10" s="1" t="s">
        <v>32</v>
      </c>
      <c r="J10" s="18"/>
      <c r="K10" s="18"/>
    </row>
    <row r="11" ht="12.75" customHeight="1">
      <c r="A11" s="1" t="s">
        <v>33</v>
      </c>
      <c r="B11" s="2">
        <f>(1+B7)^B8</f>
        <v>1.35294642</v>
      </c>
      <c r="J11" s="18"/>
      <c r="K11" s="18"/>
    </row>
    <row r="12" ht="12.75" customHeight="1">
      <c r="A12" s="1" t="s">
        <v>34</v>
      </c>
      <c r="B12" s="19">
        <f>B11*B6</f>
        <v>1352.94642</v>
      </c>
      <c r="C12" s="20" t="s">
        <v>35</v>
      </c>
      <c r="D12" s="1" t="s">
        <v>36</v>
      </c>
      <c r="K12" s="18"/>
    </row>
    <row r="13" ht="12.75" customHeight="1">
      <c r="A13" s="1" t="s">
        <v>37</v>
      </c>
      <c r="B13" s="19">
        <f>B12-B6</f>
        <v>352.9464198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63"/>
    <col customWidth="1" min="2" max="2" width="12.88"/>
    <col customWidth="1" min="3" max="26" width="8.63"/>
  </cols>
  <sheetData>
    <row r="1" ht="12.75" customHeight="1"/>
    <row r="2" ht="12.75" customHeight="1">
      <c r="A2" s="1" t="s">
        <v>38</v>
      </c>
    </row>
    <row r="3" ht="12.75" customHeight="1">
      <c r="A3" s="1" t="s">
        <v>39</v>
      </c>
    </row>
    <row r="4" ht="12.75" customHeight="1">
      <c r="A4" s="1" t="s">
        <v>40</v>
      </c>
    </row>
    <row r="5" ht="12.75" customHeight="1"/>
    <row r="6" ht="12.75" customHeight="1">
      <c r="A6" s="1" t="s">
        <v>2</v>
      </c>
      <c r="B6" s="17">
        <v>26000.0</v>
      </c>
      <c r="D6" s="1" t="s">
        <v>41</v>
      </c>
    </row>
    <row r="7" ht="12.75" customHeight="1">
      <c r="A7" s="1" t="s">
        <v>34</v>
      </c>
      <c r="B7" s="17">
        <v>32000.0</v>
      </c>
      <c r="D7" s="1" t="s">
        <v>42</v>
      </c>
    </row>
    <row r="8" ht="12.75" customHeight="1">
      <c r="A8" s="1" t="s">
        <v>4</v>
      </c>
      <c r="B8" s="2">
        <v>6.0</v>
      </c>
      <c r="C8" s="1" t="s">
        <v>30</v>
      </c>
      <c r="D8" s="1" t="s">
        <v>6</v>
      </c>
    </row>
    <row r="9" ht="12.75" customHeight="1"/>
    <row r="10" ht="12.75" customHeight="1">
      <c r="A10" s="1" t="s">
        <v>43</v>
      </c>
      <c r="B10" s="19">
        <f>B7-B6</f>
        <v>6000</v>
      </c>
    </row>
    <row r="11" ht="12.75" customHeight="1">
      <c r="A11" s="1" t="s">
        <v>44</v>
      </c>
      <c r="B11" s="19">
        <f>C11*B10</f>
        <v>1200</v>
      </c>
      <c r="C11" s="4">
        <v>0.2</v>
      </c>
    </row>
    <row r="12" ht="12.75" customHeight="1"/>
    <row r="13" ht="12.75" customHeight="1">
      <c r="A13" s="1" t="s">
        <v>45</v>
      </c>
      <c r="B13" s="19">
        <f>B10-B11</f>
        <v>4800</v>
      </c>
    </row>
    <row r="14" ht="12.75" customHeight="1"/>
    <row r="15" ht="12.75" customHeight="1">
      <c r="A15" s="1" t="s">
        <v>46</v>
      </c>
      <c r="B15" s="5">
        <f>B10/B6</f>
        <v>0.2307692308</v>
      </c>
      <c r="C15" s="1"/>
      <c r="D15" s="6" t="s">
        <v>47</v>
      </c>
      <c r="E15" s="1"/>
    </row>
    <row r="16" ht="12.75" customHeight="1">
      <c r="A16" s="1" t="s">
        <v>48</v>
      </c>
      <c r="B16" s="5">
        <f>B13/B6</f>
        <v>0.1846153846</v>
      </c>
      <c r="C16" s="1"/>
      <c r="D16" s="1" t="s">
        <v>49</v>
      </c>
    </row>
    <row r="17" ht="12.75" customHeight="1">
      <c r="A17" s="21" t="s">
        <v>50</v>
      </c>
      <c r="B17" s="22">
        <f>(1+B16)^(1/B8)-1</f>
        <v>0.02863878338</v>
      </c>
      <c r="C17" s="21" t="s">
        <v>28</v>
      </c>
      <c r="D17" s="1" t="s">
        <v>51</v>
      </c>
    </row>
    <row r="18" ht="12.75" customHeight="1">
      <c r="A18" s="21"/>
      <c r="B18" s="22">
        <f>(1+B16)^2-1</f>
        <v>0.4033136095</v>
      </c>
      <c r="C18" s="21" t="s">
        <v>8</v>
      </c>
    </row>
    <row r="19" ht="12.75" customHeight="1">
      <c r="B19" s="5"/>
      <c r="H19" s="23" t="s">
        <v>52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63"/>
    <col customWidth="1" min="2" max="2" width="12.88"/>
    <col customWidth="1" min="3" max="26" width="8.63"/>
  </cols>
  <sheetData>
    <row r="1" ht="12.75" customHeight="1"/>
    <row r="2" ht="12.75" customHeight="1">
      <c r="A2" s="1" t="s">
        <v>53</v>
      </c>
    </row>
    <row r="3" ht="12.75" customHeight="1">
      <c r="A3" s="1" t="s">
        <v>54</v>
      </c>
    </row>
    <row r="4" ht="12.75" customHeight="1">
      <c r="A4" s="1" t="s">
        <v>55</v>
      </c>
    </row>
    <row r="5" ht="12.75" customHeight="1">
      <c r="A5" s="1"/>
    </row>
    <row r="6" ht="12.75" customHeight="1">
      <c r="A6" s="1" t="s">
        <v>2</v>
      </c>
      <c r="B6" s="17">
        <v>10000.0</v>
      </c>
      <c r="D6" s="1" t="s">
        <v>41</v>
      </c>
    </row>
    <row r="7" ht="12.75" customHeight="1">
      <c r="A7" s="1" t="s">
        <v>7</v>
      </c>
      <c r="B7" s="24">
        <v>0.005</v>
      </c>
      <c r="C7" s="1" t="s">
        <v>28</v>
      </c>
      <c r="D7" s="1" t="s">
        <v>56</v>
      </c>
    </row>
    <row r="8" ht="12.75" customHeight="1">
      <c r="A8" s="1" t="s">
        <v>4</v>
      </c>
      <c r="B8" s="2">
        <v>12.0</v>
      </c>
      <c r="C8" s="1" t="s">
        <v>30</v>
      </c>
      <c r="D8" s="1" t="s">
        <v>6</v>
      </c>
    </row>
    <row r="9" ht="12.75" customHeight="1"/>
    <row r="10" ht="12.75" customHeight="1">
      <c r="A10" s="1" t="s">
        <v>33</v>
      </c>
      <c r="B10" s="2">
        <f>(1+B7)^B8</f>
        <v>1.061677812</v>
      </c>
    </row>
    <row r="11" ht="12.75" customHeight="1">
      <c r="A11" s="1" t="s">
        <v>34</v>
      </c>
      <c r="B11" s="17">
        <f>B10*B6</f>
        <v>10616.77812</v>
      </c>
      <c r="D11" s="1" t="s">
        <v>57</v>
      </c>
    </row>
    <row r="12" ht="12.75" customHeight="1">
      <c r="A12" s="1" t="s">
        <v>43</v>
      </c>
      <c r="B12" s="19">
        <f>B11-B6</f>
        <v>616.7781186</v>
      </c>
    </row>
    <row r="13" ht="12.75" customHeight="1"/>
    <row r="14" ht="12.75" customHeight="1">
      <c r="A14" s="1" t="s">
        <v>58</v>
      </c>
      <c r="B14" s="5">
        <v>0.045</v>
      </c>
      <c r="C14" s="1" t="s">
        <v>8</v>
      </c>
      <c r="D14" s="1" t="s">
        <v>59</v>
      </c>
    </row>
    <row r="15" ht="12.75" customHeight="1">
      <c r="A15" s="1" t="s">
        <v>60</v>
      </c>
      <c r="B15" s="25">
        <f>1+B14</f>
        <v>1.045</v>
      </c>
      <c r="C15" s="1"/>
      <c r="D15" s="26" t="s">
        <v>61</v>
      </c>
    </row>
    <row r="16" ht="12.75" customHeight="1">
      <c r="A16" s="1" t="s">
        <v>62</v>
      </c>
      <c r="B16" s="19">
        <f>B15*B6</f>
        <v>10450</v>
      </c>
      <c r="D16" s="1" t="s">
        <v>63</v>
      </c>
    </row>
    <row r="17" ht="12.75" customHeight="1"/>
    <row r="18" ht="12.75" customHeight="1">
      <c r="A18" s="1" t="s">
        <v>64</v>
      </c>
      <c r="B18" s="19">
        <f>B11-B16</f>
        <v>166.7781186</v>
      </c>
    </row>
    <row r="19" ht="12.75" customHeight="1">
      <c r="A19" s="27" t="s">
        <v>65</v>
      </c>
      <c r="B19" s="28">
        <f>B10/B15-1</f>
        <v>0.01595962858</v>
      </c>
      <c r="C19" s="1" t="s">
        <v>8</v>
      </c>
      <c r="D19" s="1"/>
      <c r="E19" s="1"/>
    </row>
    <row r="20" ht="12.75" customHeight="1">
      <c r="A20" s="1"/>
      <c r="B20" s="28">
        <f>(1+B19)^(1/12)-1</f>
        <v>0.001320338607</v>
      </c>
      <c r="C20" s="1" t="s">
        <v>28</v>
      </c>
      <c r="D20" s="1"/>
    </row>
    <row r="21" ht="12.75" customHeight="1">
      <c r="A21" s="1"/>
      <c r="B21" s="5"/>
      <c r="C21" s="1"/>
      <c r="D21" s="1"/>
    </row>
    <row r="22" ht="12.75" customHeight="1">
      <c r="B22" s="6">
        <f>B11/B16-1</f>
        <v>0.01595962858</v>
      </c>
      <c r="C22" s="1"/>
      <c r="D22" s="29" t="s">
        <v>66</v>
      </c>
    </row>
    <row r="23" ht="12.75" customHeight="1">
      <c r="B23" s="6">
        <f>B10/B15-1</f>
        <v>0.01595962858</v>
      </c>
    </row>
    <row r="24" ht="12.75" customHeight="1"/>
    <row r="25" ht="12.75" customHeight="1"/>
    <row r="26" ht="12.75" customHeight="1">
      <c r="B26" s="6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3" width="8.63"/>
    <col customWidth="1" min="4" max="4" width="10.75"/>
    <col customWidth="1" min="5" max="5" width="10.63"/>
    <col customWidth="1" min="6" max="6" width="8.63"/>
    <col customWidth="1" min="7" max="7" width="12.0"/>
    <col customWidth="1" min="8" max="26" width="8.63"/>
  </cols>
  <sheetData>
    <row r="1" ht="12.75" customHeight="1"/>
    <row r="2" ht="12.75" customHeight="1">
      <c r="B2" s="1" t="s">
        <v>7</v>
      </c>
      <c r="C2" s="4">
        <v>0.08</v>
      </c>
      <c r="D2" s="1" t="s">
        <v>28</v>
      </c>
    </row>
    <row r="3" ht="12.75" customHeight="1"/>
    <row r="4" ht="12.75" customHeight="1">
      <c r="B4" s="30" t="s">
        <v>67</v>
      </c>
      <c r="C4" s="30" t="s">
        <v>68</v>
      </c>
      <c r="D4" s="30" t="s">
        <v>69</v>
      </c>
      <c r="E4" s="30" t="s">
        <v>70</v>
      </c>
      <c r="G4" s="20" t="s">
        <v>71</v>
      </c>
    </row>
    <row r="5" ht="12.75" customHeight="1">
      <c r="B5" s="20">
        <v>1.0</v>
      </c>
      <c r="C5" s="9">
        <v>1000.0</v>
      </c>
      <c r="D5" s="9">
        <f t="shared" ref="D5:D8" si="1">C5*$C$2</f>
        <v>80</v>
      </c>
      <c r="E5" s="9">
        <f t="shared" ref="E5:E8" si="2">C5+D5</f>
        <v>1080</v>
      </c>
      <c r="G5" s="5">
        <f>(1+C2)</f>
        <v>1.08</v>
      </c>
      <c r="H5" s="9">
        <f>C5*G5</f>
        <v>1080</v>
      </c>
    </row>
    <row r="6" ht="12.75" customHeight="1">
      <c r="B6" s="20">
        <v>2.0</v>
      </c>
      <c r="C6" s="9">
        <f t="shared" ref="C6:C8" si="3">E5</f>
        <v>1080</v>
      </c>
      <c r="D6" s="9">
        <f t="shared" si="1"/>
        <v>86.4</v>
      </c>
      <c r="E6" s="9">
        <f t="shared" si="2"/>
        <v>1166.4</v>
      </c>
      <c r="G6" s="31">
        <f>G5*(1+C2)</f>
        <v>1.1664</v>
      </c>
      <c r="H6" s="9">
        <f>G6*C5</f>
        <v>1166.4</v>
      </c>
      <c r="I6" s="32">
        <f>(1+C2)^B6</f>
        <v>1.1664</v>
      </c>
      <c r="J6" s="9">
        <f>I6*C5</f>
        <v>1166.4</v>
      </c>
    </row>
    <row r="7" ht="12.75" customHeight="1">
      <c r="B7" s="20">
        <v>3.0</v>
      </c>
      <c r="C7" s="9">
        <f t="shared" si="3"/>
        <v>1166.4</v>
      </c>
      <c r="D7" s="9">
        <f t="shared" si="1"/>
        <v>93.312</v>
      </c>
      <c r="E7" s="9">
        <f t="shared" si="2"/>
        <v>1259.712</v>
      </c>
      <c r="F7" s="9"/>
    </row>
    <row r="8" ht="12.75" customHeight="1">
      <c r="B8" s="20">
        <v>4.0</v>
      </c>
      <c r="C8" s="9">
        <f t="shared" si="3"/>
        <v>1259.712</v>
      </c>
      <c r="D8" s="9">
        <f t="shared" si="1"/>
        <v>100.77696</v>
      </c>
      <c r="E8" s="9">
        <f t="shared" si="2"/>
        <v>1360.48896</v>
      </c>
      <c r="F8" s="9"/>
    </row>
    <row r="9" ht="12.75" customHeight="1">
      <c r="C9" s="9"/>
      <c r="D9" s="9"/>
      <c r="E9" s="9"/>
      <c r="F9" s="9"/>
    </row>
    <row r="10" ht="12.75" customHeight="1">
      <c r="B10" s="29" t="s">
        <v>72</v>
      </c>
      <c r="C10" s="9"/>
      <c r="D10" s="9"/>
      <c r="E10" s="9"/>
      <c r="F10" s="9"/>
    </row>
    <row r="11" ht="12.75" customHeight="1">
      <c r="C11" s="9"/>
      <c r="D11" s="9"/>
      <c r="E11" s="9"/>
      <c r="F11" s="9"/>
    </row>
    <row r="12" ht="12.75" customHeight="1">
      <c r="B12" s="1" t="s">
        <v>2</v>
      </c>
      <c r="C12" s="9">
        <v>1000.0</v>
      </c>
      <c r="D12" s="9"/>
      <c r="E12" s="9"/>
      <c r="F12" s="9"/>
    </row>
    <row r="13" ht="12.75" customHeight="1">
      <c r="B13" s="1" t="s">
        <v>4</v>
      </c>
      <c r="C13" s="33">
        <v>4.0</v>
      </c>
      <c r="D13" s="9" t="s">
        <v>30</v>
      </c>
      <c r="E13" s="9"/>
      <c r="F13" s="9"/>
    </row>
    <row r="14" ht="12.75" customHeight="1">
      <c r="B14" s="1" t="s">
        <v>33</v>
      </c>
      <c r="C14" s="25">
        <f>(1+C2)^C13</f>
        <v>1.36048896</v>
      </c>
      <c r="D14" s="9"/>
      <c r="E14" s="9">
        <f>C12*(1+C2)^C13</f>
        <v>1360.48896</v>
      </c>
      <c r="F14" s="9"/>
    </row>
    <row r="15" ht="12.75" customHeight="1">
      <c r="B15" s="1" t="s">
        <v>34</v>
      </c>
      <c r="C15" s="9">
        <f>C12*C14</f>
        <v>1360.48896</v>
      </c>
      <c r="D15" s="9" t="s">
        <v>15</v>
      </c>
      <c r="E15" s="34">
        <f>FV(C2,C13,,C12)</f>
        <v>-1360.48896</v>
      </c>
      <c r="F15" s="9" t="s">
        <v>73</v>
      </c>
    </row>
    <row r="16" ht="12.75" customHeight="1"/>
    <row r="17" ht="12.75" customHeight="1">
      <c r="C17" s="9"/>
      <c r="D17" s="9"/>
      <c r="E17" s="9"/>
      <c r="F17" s="9"/>
    </row>
    <row r="18" ht="12.75" customHeight="1">
      <c r="B18" s="1"/>
      <c r="C18" s="9"/>
      <c r="D18" s="9"/>
      <c r="E18" s="9"/>
      <c r="F18" s="9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A2" s="2" t="s">
        <v>74</v>
      </c>
    </row>
    <row r="3" ht="12.75" customHeight="1">
      <c r="A3" s="2" t="s">
        <v>75</v>
      </c>
    </row>
    <row r="4" ht="12.75" customHeight="1">
      <c r="A4" s="2" t="s">
        <v>76</v>
      </c>
    </row>
    <row r="5" ht="12.75" customHeight="1"/>
    <row r="6" ht="12.75" customHeight="1"/>
    <row r="7" ht="12.75" customHeight="1">
      <c r="A7" s="2" t="s">
        <v>77</v>
      </c>
      <c r="B7" s="9">
        <v>2500.0</v>
      </c>
      <c r="C7" s="2" t="s">
        <v>78</v>
      </c>
    </row>
    <row r="8" ht="12.75" customHeight="1">
      <c r="A8" s="2" t="s">
        <v>4</v>
      </c>
      <c r="B8" s="2">
        <v>8.0</v>
      </c>
      <c r="C8" s="2" t="s">
        <v>30</v>
      </c>
    </row>
    <row r="9" ht="12.75" customHeight="1">
      <c r="A9" s="2" t="s">
        <v>7</v>
      </c>
      <c r="B9" s="5">
        <v>0.01</v>
      </c>
      <c r="C9" s="2" t="s">
        <v>28</v>
      </c>
    </row>
    <row r="10" ht="12.75" customHeight="1"/>
    <row r="11" ht="12.75" customHeight="1">
      <c r="A11" s="2" t="s">
        <v>79</v>
      </c>
      <c r="B11" s="2">
        <f>(1+B9)^B8</f>
        <v>1.082856706</v>
      </c>
      <c r="D11" s="2" t="s">
        <v>80</v>
      </c>
    </row>
    <row r="12" ht="12.75" customHeight="1">
      <c r="A12" s="2" t="s">
        <v>15</v>
      </c>
      <c r="B12" s="9">
        <f>B11*B7</f>
        <v>2707.141764</v>
      </c>
      <c r="C12" s="2" t="s">
        <v>78</v>
      </c>
      <c r="D12" s="2" t="s">
        <v>81</v>
      </c>
    </row>
    <row r="13" ht="12.75" customHeight="1"/>
    <row r="14" ht="12.75" customHeight="1">
      <c r="A14" s="2" t="s">
        <v>10</v>
      </c>
      <c r="B14" s="9">
        <f>B12-B7</f>
        <v>207.1417641</v>
      </c>
      <c r="C14" s="2" t="s">
        <v>78</v>
      </c>
      <c r="D14" s="2" t="s">
        <v>82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A2" s="2" t="s">
        <v>83</v>
      </c>
    </row>
    <row r="3" ht="12.75" customHeight="1">
      <c r="A3" s="2" t="s">
        <v>84</v>
      </c>
    </row>
    <row r="4" ht="12.75" customHeight="1"/>
    <row r="5" ht="12.75" customHeight="1">
      <c r="A5" s="2" t="s">
        <v>77</v>
      </c>
      <c r="B5" s="9">
        <v>4500.0</v>
      </c>
      <c r="C5" s="2" t="s">
        <v>78</v>
      </c>
    </row>
    <row r="6" ht="12.75" customHeight="1">
      <c r="A6" s="2" t="s">
        <v>4</v>
      </c>
      <c r="B6" s="2">
        <v>12.0</v>
      </c>
      <c r="C6" s="2" t="s">
        <v>30</v>
      </c>
    </row>
    <row r="7" ht="12.75" customHeight="1">
      <c r="A7" s="2" t="s">
        <v>7</v>
      </c>
      <c r="B7" s="5">
        <v>0.065</v>
      </c>
      <c r="C7" s="2" t="s">
        <v>28</v>
      </c>
    </row>
    <row r="8" ht="12.75" customHeight="1"/>
    <row r="9" ht="12.75" customHeight="1">
      <c r="A9" s="2" t="s">
        <v>79</v>
      </c>
      <c r="B9" s="2">
        <f>(1+B7)^B6</f>
        <v>2.129096242</v>
      </c>
    </row>
    <row r="10" ht="12.75" customHeight="1">
      <c r="A10" s="2" t="s">
        <v>15</v>
      </c>
      <c r="B10" s="9">
        <f>B9*B5</f>
        <v>9580.933087</v>
      </c>
      <c r="C10" s="2" t="s">
        <v>78</v>
      </c>
    </row>
    <row r="11" ht="12.75" customHeight="1"/>
    <row r="12" ht="12.75" customHeight="1">
      <c r="A12" s="2" t="s">
        <v>10</v>
      </c>
      <c r="B12" s="9">
        <f>B10-B5</f>
        <v>5080.933087</v>
      </c>
      <c r="C12" s="2" t="s">
        <v>78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6" width="8.63"/>
  </cols>
  <sheetData>
    <row r="1" ht="12.75" customHeight="1"/>
    <row r="2" ht="12.75" customHeight="1">
      <c r="B2" s="1" t="s">
        <v>85</v>
      </c>
    </row>
    <row r="3" ht="12.75" customHeight="1"/>
    <row r="4" ht="12.75" customHeight="1">
      <c r="A4" s="1" t="s">
        <v>86</v>
      </c>
      <c r="B4" s="1" t="s">
        <v>87</v>
      </c>
    </row>
    <row r="5" ht="12.75" customHeight="1"/>
    <row r="6" ht="12.75" customHeight="1">
      <c r="A6" s="1" t="s">
        <v>88</v>
      </c>
      <c r="B6" s="1" t="s">
        <v>89</v>
      </c>
    </row>
    <row r="7" ht="12.75" customHeight="1">
      <c r="B7" s="1" t="s">
        <v>90</v>
      </c>
    </row>
    <row r="8" ht="12.75" customHeight="1"/>
    <row r="9" ht="12.75" customHeight="1">
      <c r="A9" s="1" t="s">
        <v>91</v>
      </c>
      <c r="B9" s="1" t="s">
        <v>92</v>
      </c>
    </row>
    <row r="10" ht="12.75" customHeight="1">
      <c r="B10" s="1" t="s">
        <v>93</v>
      </c>
    </row>
    <row r="11" ht="12.75" customHeight="1"/>
    <row r="12" ht="12.75" customHeight="1">
      <c r="A12" s="2" t="s">
        <v>94</v>
      </c>
      <c r="B12" s="1" t="s">
        <v>95</v>
      </c>
    </row>
    <row r="13" ht="12.75" customHeight="1">
      <c r="B13" s="1" t="s">
        <v>96</v>
      </c>
    </row>
    <row r="14" ht="12.75" customHeight="1">
      <c r="B14" s="1"/>
    </row>
    <row r="15" ht="12.75" customHeight="1">
      <c r="A15" s="2" t="s">
        <v>97</v>
      </c>
      <c r="B15" s="2" t="s">
        <v>98</v>
      </c>
    </row>
    <row r="16" ht="12.75" customHeight="1">
      <c r="B16" s="2" t="s">
        <v>99</v>
      </c>
    </row>
    <row r="17" ht="12.75" customHeight="1"/>
    <row r="18" ht="12.75" customHeight="1">
      <c r="A18" s="2" t="s">
        <v>100</v>
      </c>
      <c r="B18" s="2" t="s">
        <v>101</v>
      </c>
    </row>
    <row r="19" ht="12.75" customHeight="1">
      <c r="B19" s="2" t="s">
        <v>102</v>
      </c>
    </row>
    <row r="20" ht="12.75" customHeight="1"/>
    <row r="21" ht="12.75" customHeight="1">
      <c r="A21" s="2" t="s">
        <v>103</v>
      </c>
      <c r="B21" s="2" t="s">
        <v>104</v>
      </c>
    </row>
    <row r="22" ht="12.75" customHeight="1">
      <c r="B22" s="2" t="s">
        <v>105</v>
      </c>
    </row>
    <row r="23" ht="12.75" customHeight="1">
      <c r="B23" s="1" t="s">
        <v>106</v>
      </c>
    </row>
    <row r="24" ht="12.75" customHeight="1">
      <c r="B24" s="2" t="s">
        <v>107</v>
      </c>
    </row>
    <row r="25" ht="12.75" customHeight="1"/>
    <row r="26" ht="12.75" customHeight="1">
      <c r="A26" s="2" t="s">
        <v>108</v>
      </c>
      <c r="B26" s="2" t="s">
        <v>109</v>
      </c>
    </row>
    <row r="27" ht="12.75" customHeight="1">
      <c r="B27" s="2" t="s">
        <v>110</v>
      </c>
    </row>
    <row r="28" ht="12.75" customHeight="1">
      <c r="B28" s="2" t="s">
        <v>111</v>
      </c>
    </row>
    <row r="29" ht="12.75" customHeight="1"/>
    <row r="30" ht="12.75" customHeight="1">
      <c r="A30" s="1" t="s">
        <v>112</v>
      </c>
      <c r="B30" s="1" t="s">
        <v>113</v>
      </c>
    </row>
    <row r="31" ht="12.75" customHeight="1">
      <c r="A31" s="1"/>
      <c r="B31" s="1" t="s">
        <v>114</v>
      </c>
    </row>
    <row r="32" ht="12.75" customHeight="1"/>
    <row r="33" ht="12.75" customHeight="1">
      <c r="A33" s="1" t="s">
        <v>115</v>
      </c>
      <c r="B33" s="1" t="s">
        <v>116</v>
      </c>
    </row>
    <row r="34" ht="12.75" customHeight="1">
      <c r="A34" s="1"/>
      <c r="B34" s="1" t="s">
        <v>117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2002-07-22T19:40:15Z</dcterms:created>
  <dc:creator>CarlosBoabaid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