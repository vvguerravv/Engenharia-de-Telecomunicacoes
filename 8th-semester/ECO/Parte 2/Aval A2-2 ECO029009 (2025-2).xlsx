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\Documents\IFSC\1_Docencia\1_ECO129008\3_Avaliacoes\Acervo\"/>
    </mc:Choice>
  </mc:AlternateContent>
  <xr:revisionPtr revIDLastSave="0" documentId="13_ncr:1_{C8258BA9-3EE8-4152-AE42-F012EE037F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Q1" sheetId="7" r:id="rId1"/>
    <sheet name="Q2" sheetId="4" r:id="rId2"/>
    <sheet name="Q3" sheetId="1" r:id="rId3"/>
    <sheet name="Q4" sheetId="2" r:id="rId4"/>
    <sheet name="Q5" sheetId="5" r:id="rId5"/>
    <sheet name="Q6" sheetId="8" r:id="rId6"/>
    <sheet name="Q7" sheetId="6" r:id="rId7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8" l="1"/>
  <c r="C17" i="8"/>
  <c r="C15" i="8"/>
  <c r="C12" i="8"/>
  <c r="C13" i="8" s="1"/>
  <c r="D10" i="1"/>
  <c r="D10" i="2"/>
  <c r="D11" i="2" s="1"/>
  <c r="D12" i="2" s="1"/>
  <c r="D13" i="2" s="1"/>
  <c r="C22" i="8" l="1"/>
  <c r="C23" i="8" s="1"/>
  <c r="C24" i="8" s="1"/>
  <c r="C26" i="8" s="1"/>
  <c r="C28" i="8" s="1"/>
  <c r="C29" i="8" s="1"/>
  <c r="C14" i="7"/>
  <c r="C10" i="7"/>
  <c r="C11" i="7" s="1"/>
  <c r="E16" i="6"/>
  <c r="E15" i="6"/>
  <c r="E14" i="6"/>
  <c r="B14" i="6"/>
  <c r="B15" i="6" s="1"/>
  <c r="B16" i="6" s="1"/>
  <c r="J13" i="6"/>
  <c r="J14" i="6" s="1"/>
  <c r="I13" i="6"/>
  <c r="I14" i="6" s="1"/>
  <c r="I15" i="6" s="1"/>
  <c r="I16" i="6" s="1"/>
  <c r="E13" i="6"/>
  <c r="B13" i="6"/>
  <c r="M12" i="6"/>
  <c r="K13" i="6" s="1"/>
  <c r="F12" i="6"/>
  <c r="C19" i="5"/>
  <c r="C7" i="5"/>
  <c r="C11" i="5" s="1"/>
  <c r="C12" i="4"/>
  <c r="C7" i="4"/>
  <c r="C8" i="4" s="1"/>
  <c r="C16" i="4" s="1"/>
  <c r="L13" i="2"/>
  <c r="L14" i="2" s="1"/>
  <c r="D8" i="2"/>
  <c r="N5" i="2"/>
  <c r="I5" i="2"/>
  <c r="I9" i="2" s="1"/>
  <c r="H7" i="1"/>
  <c r="H6" i="1"/>
  <c r="E17" i="6" l="1"/>
  <c r="F13" i="6"/>
  <c r="F14" i="6" s="1"/>
  <c r="I7" i="2"/>
  <c r="I10" i="2" s="1"/>
  <c r="I6" i="2"/>
  <c r="I8" i="2" s="1"/>
  <c r="M6" i="2"/>
  <c r="N6" i="2" s="1"/>
  <c r="M7" i="2" s="1"/>
  <c r="N7" i="2" s="1"/>
  <c r="M8" i="2" s="1"/>
  <c r="N8" i="2" s="1"/>
  <c r="M9" i="2" s="1"/>
  <c r="N9" i="2" s="1"/>
  <c r="M10" i="2" s="1"/>
  <c r="N10" i="2" s="1"/>
  <c r="M11" i="2" s="1"/>
  <c r="N11" i="2" s="1"/>
  <c r="M12" i="2" s="1"/>
  <c r="N12" i="2" s="1"/>
  <c r="M13" i="2" s="1"/>
  <c r="N13" i="2" s="1"/>
  <c r="M14" i="2" s="1"/>
  <c r="N14" i="2" s="1"/>
  <c r="C14" i="4"/>
  <c r="K6" i="1"/>
  <c r="D9" i="1" s="1"/>
  <c r="D14" i="6"/>
  <c r="C14" i="6" s="1"/>
  <c r="J15" i="6"/>
  <c r="C25" i="5"/>
  <c r="C15" i="5"/>
  <c r="C14" i="5"/>
  <c r="C20" i="5" s="1"/>
  <c r="C21" i="5" s="1"/>
  <c r="D13" i="6"/>
  <c r="L13" i="6"/>
  <c r="C13" i="6" l="1"/>
  <c r="J16" i="6"/>
  <c r="M15" i="2"/>
  <c r="M13" i="6"/>
  <c r="F15" i="6"/>
  <c r="D15" i="6"/>
  <c r="C15" i="6" s="1"/>
  <c r="K14" i="6" l="1"/>
  <c r="D16" i="6"/>
  <c r="C16" i="6" s="1"/>
  <c r="C17" i="6" s="1"/>
  <c r="F16" i="6"/>
  <c r="J17" i="6"/>
  <c r="D17" i="6" l="1"/>
  <c r="L14" i="6"/>
  <c r="M14" i="6" l="1"/>
  <c r="K15" i="6" l="1"/>
  <c r="L15" i="6" l="1"/>
  <c r="M15" i="6" l="1"/>
  <c r="K16" i="6" l="1"/>
  <c r="L16" i="6" l="1"/>
  <c r="K17" i="6"/>
  <c r="L17" i="6" l="1"/>
  <c r="M16" i="6"/>
</calcChain>
</file>

<file path=xl/sharedStrings.xml><?xml version="1.0" encoding="utf-8"?>
<sst xmlns="http://schemas.openxmlformats.org/spreadsheetml/2006/main" count="166" uniqueCount="110">
  <si>
    <t>[1]</t>
  </si>
  <si>
    <t>investimento</t>
  </si>
  <si>
    <t xml:space="preserve">i_apar = </t>
  </si>
  <si>
    <t>fator de atualização</t>
  </si>
  <si>
    <t xml:space="preserve">FA_apar = </t>
  </si>
  <si>
    <t xml:space="preserve">FA_apar/FA_infl = </t>
  </si>
  <si>
    <t>inflação no mesmo período:</t>
  </si>
  <si>
    <t xml:space="preserve">i_infl = </t>
  </si>
  <si>
    <t xml:space="preserve">FA_infl = </t>
  </si>
  <si>
    <t>taxa de juro real</t>
  </si>
  <si>
    <t xml:space="preserve">i_real = </t>
  </si>
  <si>
    <t>&lt;&lt;&lt;&lt;&lt;</t>
  </si>
  <si>
    <t>[2]</t>
  </si>
  <si>
    <t>n</t>
  </si>
  <si>
    <t>J</t>
  </si>
  <si>
    <t>C(n)</t>
  </si>
  <si>
    <t xml:space="preserve">C = </t>
  </si>
  <si>
    <t xml:space="preserve">i = </t>
  </si>
  <si>
    <t xml:space="preserve">J = </t>
  </si>
  <si>
    <t xml:space="preserve">i_mensal = </t>
  </si>
  <si>
    <t>a.m.</t>
  </si>
  <si>
    <t xml:space="preserve">n = </t>
  </si>
  <si>
    <t>dias</t>
  </si>
  <si>
    <t xml:space="preserve">i_diário = </t>
  </si>
  <si>
    <t>a.d.</t>
  </si>
  <si>
    <t>meses</t>
  </si>
  <si>
    <t xml:space="preserve">i_anual = </t>
  </si>
  <si>
    <t>a.a.</t>
  </si>
  <si>
    <t>[3]</t>
  </si>
  <si>
    <t>&gt;&gt; inflação anual prevista</t>
  </si>
  <si>
    <t>anos</t>
  </si>
  <si>
    <t>&gt;&gt; prazo</t>
  </si>
  <si>
    <t xml:space="preserve">F = </t>
  </si>
  <si>
    <t xml:space="preserve">P/F = </t>
  </si>
  <si>
    <t xml:space="preserve">P = </t>
  </si>
  <si>
    <t>[4]</t>
  </si>
  <si>
    <t xml:space="preserve">qual será o valor da prestação? </t>
  </si>
  <si>
    <t xml:space="preserve">Preço = </t>
  </si>
  <si>
    <t xml:space="preserve">Entrada = </t>
  </si>
  <si>
    <t>&gt;&gt; entrada</t>
  </si>
  <si>
    <t>&gt;&gt; valor efetivamente financiado</t>
  </si>
  <si>
    <t>&gt;&gt; duração</t>
  </si>
  <si>
    <t xml:space="preserve">A/P = </t>
  </si>
  <si>
    <t>&gt;&gt;&gt; valor A/P calculado segundo a fórmula</t>
  </si>
  <si>
    <t xml:space="preserve">A = </t>
  </si>
  <si>
    <t>[5]</t>
  </si>
  <si>
    <t>Qual a taxa de juros do financiamento?</t>
  </si>
  <si>
    <t>&gt;&gt; valor presente = valor efetivamente financiado</t>
  </si>
  <si>
    <t xml:space="preserve">Usando as fórmulas: </t>
  </si>
  <si>
    <t xml:space="preserve">Como a taxa de juro "i" não é explicitável na fórmula, é necessário cálculo iterativo: </t>
  </si>
  <si>
    <t xml:space="preserve">i(arbitrado) = </t>
  </si>
  <si>
    <t>&gt;&gt;&gt; variar o valor de i até que a diferença entre A/P(calc) e A/P seja igual a zero:</t>
  </si>
  <si>
    <t xml:space="preserve">A/P(calc) = </t>
  </si>
  <si>
    <t xml:space="preserve">dif = </t>
  </si>
  <si>
    <t>&gt;&gt;&gt; diferença entre A/P(calc) e A/P real &gt;&gt; deve tender a zero</t>
  </si>
  <si>
    <t xml:space="preserve">dif [%] = </t>
  </si>
  <si>
    <t>&gt;&gt;&gt; deve tender a zero</t>
  </si>
  <si>
    <t>Usando a função TAXA do Excel:</t>
  </si>
  <si>
    <t>[6]</t>
  </si>
  <si>
    <t>&gt;&gt; valor presente</t>
  </si>
  <si>
    <t>&gt;&gt; taxa de juro</t>
  </si>
  <si>
    <t>SAC</t>
  </si>
  <si>
    <t>PRICE</t>
  </si>
  <si>
    <t>Período</t>
  </si>
  <si>
    <t>Prestação</t>
  </si>
  <si>
    <t>Juros</t>
  </si>
  <si>
    <t>Amortização</t>
  </si>
  <si>
    <t>Saldo Devedor</t>
  </si>
  <si>
    <t>Total</t>
  </si>
  <si>
    <t xml:space="preserve">O valor de um carro à vista é R$100.000. Se o veículo fôr financiado em 48 meses, com entrada de 10%, a uma taxa de 1,7%a.m., </t>
  </si>
  <si>
    <t>&gt;&gt; valor nominal, que será pago ao final</t>
  </si>
  <si>
    <t>US$</t>
  </si>
  <si>
    <t>Usando a função VP:</t>
  </si>
  <si>
    <t>[7]</t>
  </si>
  <si>
    <t xml:space="preserve">O rendimento do título do Tesouro Direto brasileiro, modalidade IPCA+ 2029, com vencimento em 15/05/2029, </t>
  </si>
  <si>
    <t>&gt;&gt; juros</t>
  </si>
  <si>
    <t xml:space="preserve">i_IPCA = </t>
  </si>
  <si>
    <t xml:space="preserve">IR = </t>
  </si>
  <si>
    <t>&gt;&gt; IR: incide sobre o ganho</t>
  </si>
  <si>
    <t>Nestas condições, qual será a taxa de retorno real?</t>
  </si>
  <si>
    <t xml:space="preserve">Realizando um investimento de R$10.000 hoje, qual o valor líquido que será resgatado no vencimento? </t>
  </si>
  <si>
    <t xml:space="preserve">i_total = </t>
  </si>
  <si>
    <t xml:space="preserve">ganho = </t>
  </si>
  <si>
    <t xml:space="preserve">F' = </t>
  </si>
  <si>
    <t>&gt;&gt; ganho de capital</t>
  </si>
  <si>
    <t>&gt;&gt; valor do imposto de renda a pagar</t>
  </si>
  <si>
    <t>&gt;&gt; valor efetivamente recebido</t>
  </si>
  <si>
    <t>&gt;&gt; estimativa do IPCA (correção monetária)</t>
  </si>
  <si>
    <t xml:space="preserve">F/P (real) = </t>
  </si>
  <si>
    <t>&gt;&gt; taxa de retorno real</t>
  </si>
  <si>
    <t>&gt;&gt; taxa efetiva: combinação da taxa de juros e do IPCA</t>
  </si>
  <si>
    <t>&gt;&gt; usando a função PGTO</t>
  </si>
  <si>
    <t xml:space="preserve">F/P = </t>
  </si>
  <si>
    <t>vencimento:</t>
  </si>
  <si>
    <t>data:</t>
  </si>
  <si>
    <t xml:space="preserve">está hoje estimado em IPCA + 8%a.a.. </t>
  </si>
  <si>
    <t xml:space="preserve">O investimento em Tesouro Direto paga 15% de imposto de renda sobre o ganho. </t>
  </si>
  <si>
    <t>A estimativa de IPCA para os próximos 4 anos é de 4,34%a.a.</t>
  </si>
  <si>
    <t xml:space="preserve">O preço à vista de uma motocicleta é R$35.000. </t>
  </si>
  <si>
    <t>É possível financiar a aquisição mediante entrada de 15% + 24 parcelas mensais de R$ 1.500,00.</t>
  </si>
  <si>
    <t>A previsão da inflação para este período é de 4,83%. Qual será a taxa de juro real?</t>
  </si>
  <si>
    <t xml:space="preserve">Um investimento tem taxa de juro pré-fixada de 14,9% para o próximo período de 1 ano. </t>
  </si>
  <si>
    <t>Um depósito de R$10.000 em um fundo de investimento com capitalização mensal obteve um rendimento total de R$1.098</t>
  </si>
  <si>
    <t xml:space="preserve"> por um prazo de 276 dias. Qual a taxa anual correspondente a essa aplicação? </t>
  </si>
  <si>
    <t xml:space="preserve">Um empréstimo de R$30.000 é financiado pelo prazo de 4 meses, a uma taxa de 2,0% a.m. </t>
  </si>
  <si>
    <t>Monte a tabela de juros, amortização e valor da prestação para o sistema SAC e para o sistema PRICE.</t>
  </si>
  <si>
    <t xml:space="preserve">O rendimento do "US 10-Year Treasury Bond" (título de dívida americano de 10 anos) está cotado hoje em 4,1420%a.a. </t>
  </si>
  <si>
    <t xml:space="preserve">Este valor representa o rendimento do título até o vencimento. </t>
  </si>
  <si>
    <t xml:space="preserve">Qual o preço de aquisição hoje de um título com valor nominal de US$1.000? </t>
  </si>
  <si>
    <t>(O valor nominal ou valor de face é o valor que será pago pelo governo americano no vencimento do título)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</si>
</sst>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-* #,##0.00_-;\-* #,##0.00_-;_-* \-??_-;_-@_-"/>
    <numFmt numFmtId="165" formatCode="0.000"/>
    <numFmt numFmtId="166" formatCode="0.0000"/>
    <numFmt numFmtId="167" formatCode="0.0%"/>
    <numFmt numFmtId="168" formatCode="&quot;R$ &quot;#,##0.00;[Red]&quot;-R$ &quot;#,##0.00"/>
    <numFmt numFmtId="169" formatCode="0.0000%"/>
    <numFmt numFmtId="170" formatCode="0.000000"/>
    <numFmt numFmtId="171" formatCode="0.000000000"/>
    <numFmt numFmtId="172" formatCode="0.00000%"/>
    <numFmt numFmtId="173" formatCode="#,##0.00_);\(#,##0.00\)"/>
    <numFmt numFmtId="174" formatCode="#,##0.00_);[Red]\(#,##0.00\)"/>
    <numFmt numFmtId="175" formatCode="&quot;R$ &quot;#,##0.00_);[Red]&quot;(R$ &quot;#,##0.00\)"/>
    <numFmt numFmtId="176" formatCode="_-* #,##0.0000_-;\-* #,##0.0000_-;_-* &quot;-&quot;??_-;_-@_-"/>
    <numFmt numFmtId="177" formatCode="0.00000000"/>
    <numFmt numFmtId="178" formatCode="#,##0.00;[Red]#,##0.00"/>
    <numFmt numFmtId="180" formatCode="dd/mm/yy;@"/>
  </numFmts>
  <fonts count="7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D5B5"/>
        <bgColor rgb="FFF7D1D5"/>
      </patternFill>
    </fill>
    <fill>
      <patternFill patternType="solid">
        <fgColor rgb="FFFFFFCC"/>
        <bgColor rgb="FFFDEADA"/>
      </patternFill>
    </fill>
    <fill>
      <patternFill patternType="solid">
        <fgColor rgb="FFFDEADA"/>
        <bgColor rgb="FFFFFFCC"/>
      </patternFill>
    </fill>
    <fill>
      <patternFill patternType="solid">
        <fgColor rgb="FFF7D1D5"/>
        <bgColor rgb="FFFCD5B5"/>
      </patternFill>
    </fill>
    <fill>
      <patternFill patternType="solid">
        <fgColor rgb="FFFF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Border="0" applyAlignment="0" applyProtection="0"/>
    <xf numFmtId="9" fontId="5" fillId="0" borderId="0" applyBorder="0" applyProtection="0"/>
    <xf numFmtId="0" fontId="2" fillId="0" borderId="0"/>
    <xf numFmtId="164" fontId="5" fillId="0" borderId="0" applyBorder="0" applyProtection="0"/>
  </cellStyleXfs>
  <cellXfs count="68">
    <xf numFmtId="0" fontId="0" fillId="0" borderId="0" xfId="0"/>
    <xf numFmtId="0" fontId="2" fillId="0" borderId="0" xfId="3"/>
    <xf numFmtId="0" fontId="3" fillId="0" borderId="0" xfId="3" applyFont="1"/>
    <xf numFmtId="0" fontId="2" fillId="0" borderId="0" xfId="0" applyFont="1"/>
    <xf numFmtId="10" fontId="2" fillId="0" borderId="0" xfId="3" applyNumberFormat="1"/>
    <xf numFmtId="165" fontId="2" fillId="0" borderId="0" xfId="3" applyNumberFormat="1"/>
    <xf numFmtId="166" fontId="2" fillId="0" borderId="0" xfId="3" applyNumberFormat="1"/>
    <xf numFmtId="0" fontId="2" fillId="2" borderId="0" xfId="3" applyFill="1"/>
    <xf numFmtId="10" fontId="2" fillId="2" borderId="0" xfId="3" applyNumberFormat="1" applyFill="1"/>
    <xf numFmtId="0" fontId="0" fillId="0" borderId="1" xfId="0" applyBorder="1" applyAlignment="1">
      <alignment horizontal="center"/>
    </xf>
    <xf numFmtId="4" fontId="0" fillId="0" borderId="0" xfId="0" applyNumberFormat="1"/>
    <xf numFmtId="10" fontId="5" fillId="0" borderId="0" xfId="2" applyNumberFormat="1" applyBorder="1" applyProtection="1"/>
    <xf numFmtId="165" fontId="0" fillId="0" borderId="0" xfId="0" applyNumberFormat="1"/>
    <xf numFmtId="0" fontId="0" fillId="3" borderId="0" xfId="0" applyFill="1"/>
    <xf numFmtId="167" fontId="5" fillId="0" borderId="0" xfId="2" applyNumberFormat="1" applyBorder="1" applyProtection="1"/>
    <xf numFmtId="10" fontId="0" fillId="0" borderId="0" xfId="0" applyNumberFormat="1"/>
    <xf numFmtId="4" fontId="0" fillId="4" borderId="0" xfId="0" applyNumberFormat="1" applyFill="1"/>
    <xf numFmtId="0" fontId="3" fillId="0" borderId="0" xfId="0" applyFont="1"/>
    <xf numFmtId="168" fontId="0" fillId="0" borderId="0" xfId="0" applyNumberFormat="1" applyAlignment="1">
      <alignment horizontal="right" vertical="center"/>
    </xf>
    <xf numFmtId="0" fontId="0" fillId="2" borderId="0" xfId="0" applyFill="1"/>
    <xf numFmtId="168" fontId="0" fillId="2" borderId="0" xfId="0" applyNumberFormat="1" applyFill="1"/>
    <xf numFmtId="168" fontId="2" fillId="0" borderId="0" xfId="3" applyNumberFormat="1" applyAlignment="1">
      <alignment horizontal="right" vertical="center"/>
    </xf>
    <xf numFmtId="9" fontId="2" fillId="0" borderId="0" xfId="3" applyNumberFormat="1"/>
    <xf numFmtId="10" fontId="2" fillId="0" borderId="0" xfId="3" applyNumberFormat="1" applyAlignment="1">
      <alignment horizontal="right" vertical="center"/>
    </xf>
    <xf numFmtId="168" fontId="2" fillId="0" borderId="0" xfId="3" applyNumberFormat="1" applyAlignment="1">
      <alignment horizontal="left" vertical="center"/>
    </xf>
    <xf numFmtId="0" fontId="2" fillId="5" borderId="0" xfId="3" applyFill="1"/>
    <xf numFmtId="168" fontId="2" fillId="5" borderId="0" xfId="3" applyNumberFormat="1" applyFill="1" applyAlignment="1">
      <alignment horizontal="right" vertical="center"/>
    </xf>
    <xf numFmtId="170" fontId="2" fillId="0" borderId="0" xfId="3" applyNumberFormat="1"/>
    <xf numFmtId="0" fontId="2" fillId="0" borderId="0" xfId="3" applyAlignment="1">
      <alignment horizontal="right"/>
    </xf>
    <xf numFmtId="171" fontId="2" fillId="0" borderId="0" xfId="3" applyNumberFormat="1"/>
    <xf numFmtId="172" fontId="2" fillId="2" borderId="0" xfId="3" applyNumberFormat="1" applyFill="1"/>
    <xf numFmtId="11" fontId="2" fillId="0" borderId="0" xfId="3" applyNumberFormat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173" fontId="0" fillId="0" borderId="7" xfId="0" applyNumberFormat="1" applyBorder="1"/>
    <xf numFmtId="4" fontId="0" fillId="0" borderId="9" xfId="0" applyNumberFormat="1" applyBorder="1"/>
    <xf numFmtId="174" fontId="0" fillId="0" borderId="7" xfId="0" applyNumberFormat="1" applyBorder="1"/>
    <xf numFmtId="173" fontId="0" fillId="0" borderId="8" xfId="0" applyNumberFormat="1" applyBorder="1"/>
    <xf numFmtId="4" fontId="0" fillId="0" borderId="8" xfId="0" applyNumberFormat="1" applyBorder="1"/>
    <xf numFmtId="0" fontId="0" fillId="0" borderId="10" xfId="0" applyBorder="1" applyAlignment="1">
      <alignment horizontal="center"/>
    </xf>
    <xf numFmtId="173" fontId="0" fillId="0" borderId="11" xfId="0" applyNumberFormat="1" applyBorder="1"/>
    <xf numFmtId="0" fontId="0" fillId="0" borderId="12" xfId="0" applyBorder="1"/>
    <xf numFmtId="0" fontId="0" fillId="0" borderId="0" xfId="0" applyAlignment="1">
      <alignment horizontal="right"/>
    </xf>
    <xf numFmtId="175" fontId="0" fillId="0" borderId="0" xfId="0" applyNumberFormat="1"/>
    <xf numFmtId="176" fontId="1" fillId="0" borderId="0" xfId="1" applyNumberFormat="1"/>
    <xf numFmtId="177" fontId="2" fillId="0" borderId="0" xfId="3" applyNumberFormat="1"/>
    <xf numFmtId="178" fontId="0" fillId="0" borderId="0" xfId="0" applyNumberFormat="1" applyAlignment="1">
      <alignment horizontal="right" vertical="center"/>
    </xf>
    <xf numFmtId="0" fontId="6" fillId="0" borderId="0" xfId="0" applyFont="1"/>
    <xf numFmtId="178" fontId="0" fillId="2" borderId="0" xfId="0" applyNumberFormat="1" applyFill="1"/>
    <xf numFmtId="167" fontId="2" fillId="0" borderId="0" xfId="3" applyNumberFormat="1"/>
    <xf numFmtId="178" fontId="2" fillId="0" borderId="0" xfId="3" applyNumberFormat="1"/>
    <xf numFmtId="169" fontId="5" fillId="6" borderId="0" xfId="2" applyNumberFormat="1" applyFill="1"/>
    <xf numFmtId="169" fontId="2" fillId="2" borderId="0" xfId="3" applyNumberFormat="1" applyFill="1"/>
    <xf numFmtId="169" fontId="5" fillId="0" borderId="0" xfId="2" applyNumberFormat="1" applyBorder="1" applyProtection="1"/>
    <xf numFmtId="0" fontId="1" fillId="0" borderId="0" xfId="0" applyFont="1"/>
    <xf numFmtId="166" fontId="0" fillId="0" borderId="0" xfId="0" applyNumberFormat="1"/>
    <xf numFmtId="169" fontId="5" fillId="0" borderId="0" xfId="2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80" fontId="2" fillId="0" borderId="0" xfId="3" applyNumberFormat="1" applyAlignment="1">
      <alignment horizontal="right" vertical="center"/>
    </xf>
    <xf numFmtId="169" fontId="0" fillId="0" borderId="0" xfId="0" applyNumberFormat="1"/>
  </cellXfs>
  <cellStyles count="5">
    <cellStyle name="Normal" xfId="0" builtinId="0"/>
    <cellStyle name="Normal 2" xfId="3" xr:uid="{00000000-0005-0000-0000-000006000000}"/>
    <cellStyle name="Porcentagem" xfId="2" builtinId="5"/>
    <cellStyle name="Vírgula" xfId="1" builtinId="3"/>
    <cellStyle name="Vírgula 2" xfId="4" xr:uid="{00000000-0005-0000-0000-000007000000}"/>
  </cellStyles>
  <dxfs count="0"/>
  <tableStyles count="0" defaultTableStyle="TableStyleMedium2" defaultPivotStyle="PivotStyleLight16"/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350590</xdr:colOff>
      <xdr:row>9</xdr:row>
      <xdr:rowOff>147053</xdr:rowOff>
    </xdr:from>
    <xdr:to>
      <xdr:col>10</xdr:col>
      <xdr:colOff>347346</xdr:colOff>
      <xdr:row>11</xdr:row>
      <xdr:rowOff>110693</xdr:rowOff>
    </xdr:to>
    <xdr:pic>
      <xdr:nvPicPr>
        <xdr:cNvPr id="2" name="Imagem 6">
          <a:extLst>
            <a:ext uri="{FF2B5EF4-FFF2-40B4-BE49-F238E27FC236}">
              <a16:creationId xmlns:a16="http://schemas.microsoft.com/office/drawing/2014/main" id="{C25DFD8C-D500-4620-9706-15D34F5ED7B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00769" y="1555392"/>
          <a:ext cx="1473131" cy="29021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501840</xdr:colOff>
      <xdr:row>6</xdr:row>
      <xdr:rowOff>141840</xdr:rowOff>
    </xdr:from>
    <xdr:to>
      <xdr:col>12</xdr:col>
      <xdr:colOff>410760</xdr:colOff>
      <xdr:row>10</xdr:row>
      <xdr:rowOff>38880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74800" y="1170720"/>
          <a:ext cx="163980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281665</xdr:colOff>
      <xdr:row>8</xdr:row>
      <xdr:rowOff>14227</xdr:rowOff>
    </xdr:from>
    <xdr:to>
      <xdr:col>7</xdr:col>
      <xdr:colOff>579445</xdr:colOff>
      <xdr:row>11</xdr:row>
      <xdr:rowOff>71823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220933" y="1456584"/>
          <a:ext cx="2093923" cy="547453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171360</xdr:colOff>
      <xdr:row>11</xdr:row>
      <xdr:rowOff>120240</xdr:rowOff>
    </xdr:from>
    <xdr:to>
      <xdr:col>7</xdr:col>
      <xdr:colOff>523080</xdr:colOff>
      <xdr:row>15</xdr:row>
      <xdr:rowOff>19800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94760" y="1939680"/>
          <a:ext cx="1640520" cy="547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684E-FFCA-4E21-B017-0AB0292475FE}">
  <dimension ref="A2:G14"/>
  <sheetViews>
    <sheetView showGridLines="0" tabSelected="1" zoomScale="140" zoomScaleNormal="140" workbookViewId="0">
      <selection activeCell="A7" sqref="A7"/>
    </sheetView>
  </sheetViews>
  <sheetFormatPr defaultColWidth="8.7109375" defaultRowHeight="12.75" x14ac:dyDescent="0.2"/>
  <cols>
    <col min="1" max="1" width="3.140625" customWidth="1"/>
    <col min="2" max="2" width="6.28515625" customWidth="1"/>
    <col min="3" max="3" width="15.140625" customWidth="1"/>
    <col min="4" max="4" width="6.28515625" customWidth="1"/>
    <col min="5" max="5" width="8.140625" customWidth="1"/>
    <col min="8" max="8" width="5.85546875" customWidth="1"/>
    <col min="10" max="10" width="13.42578125" customWidth="1"/>
  </cols>
  <sheetData>
    <row r="2" spans="1:7" ht="15.75" x14ac:dyDescent="0.25">
      <c r="A2" t="s">
        <v>0</v>
      </c>
      <c r="B2" s="17" t="s">
        <v>106</v>
      </c>
    </row>
    <row r="3" spans="1:7" ht="15.75" x14ac:dyDescent="0.25">
      <c r="B3" s="17" t="s">
        <v>107</v>
      </c>
    </row>
    <row r="4" spans="1:7" ht="15.75" x14ac:dyDescent="0.25">
      <c r="B4" s="17" t="s">
        <v>108</v>
      </c>
    </row>
    <row r="5" spans="1:7" ht="15.75" x14ac:dyDescent="0.25">
      <c r="B5" s="17" t="s">
        <v>109</v>
      </c>
    </row>
    <row r="7" spans="1:7" x14ac:dyDescent="0.2">
      <c r="B7" t="s">
        <v>32</v>
      </c>
      <c r="C7" s="52">
        <v>1000</v>
      </c>
      <c r="D7" s="53" t="s">
        <v>71</v>
      </c>
      <c r="G7" s="53" t="s">
        <v>70</v>
      </c>
    </row>
    <row r="8" spans="1:7" x14ac:dyDescent="0.2">
      <c r="B8" s="53" t="s">
        <v>17</v>
      </c>
      <c r="C8" s="67">
        <v>4.1419999999999998E-2</v>
      </c>
      <c r="D8" t="s">
        <v>27</v>
      </c>
      <c r="G8" t="s">
        <v>29</v>
      </c>
    </row>
    <row r="9" spans="1:7" x14ac:dyDescent="0.2">
      <c r="B9" t="s">
        <v>21</v>
      </c>
      <c r="C9">
        <v>10</v>
      </c>
      <c r="D9" t="s">
        <v>30</v>
      </c>
      <c r="G9" t="s">
        <v>31</v>
      </c>
    </row>
    <row r="10" spans="1:7" x14ac:dyDescent="0.2">
      <c r="B10" t="s">
        <v>33</v>
      </c>
      <c r="C10">
        <f>1/(1+C8)^C9</f>
        <v>0.66640901201632574</v>
      </c>
    </row>
    <row r="11" spans="1:7" x14ac:dyDescent="0.2">
      <c r="B11" s="19" t="s">
        <v>34</v>
      </c>
      <c r="C11" s="54">
        <f>C7*C10</f>
        <v>666.40901201632573</v>
      </c>
      <c r="D11" s="53" t="s">
        <v>71</v>
      </c>
      <c r="G11" s="53" t="s">
        <v>59</v>
      </c>
    </row>
    <row r="12" spans="1:7" x14ac:dyDescent="0.2">
      <c r="C12" s="18"/>
    </row>
    <row r="13" spans="1:7" x14ac:dyDescent="0.2">
      <c r="B13" s="53" t="s">
        <v>72</v>
      </c>
    </row>
    <row r="14" spans="1:7" x14ac:dyDescent="0.2">
      <c r="B14" s="19" t="s">
        <v>34</v>
      </c>
      <c r="C14" s="20">
        <f>PV(C8,C9,,-C7)</f>
        <v>666.40901201632573</v>
      </c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6"/>
  <sheetViews>
    <sheetView showGridLines="0" zoomScale="140" zoomScaleNormal="140" workbookViewId="0">
      <selection activeCell="A10" sqref="A10"/>
    </sheetView>
  </sheetViews>
  <sheetFormatPr defaultColWidth="9.140625" defaultRowHeight="12.75" x14ac:dyDescent="0.2"/>
  <cols>
    <col min="1" max="1" width="3.42578125" style="1" customWidth="1"/>
    <col min="2" max="2" width="13" style="1" customWidth="1"/>
    <col min="3" max="3" width="14.28515625" style="1" customWidth="1"/>
    <col min="4" max="4" width="7.140625" style="1" customWidth="1"/>
    <col min="5" max="5" width="3" style="1" customWidth="1"/>
    <col min="6" max="7" width="9.140625" style="1"/>
    <col min="8" max="8" width="10.85546875" style="1" customWidth="1"/>
    <col min="9" max="9" width="9.140625" style="1"/>
    <col min="10" max="10" width="1.85546875" style="1" customWidth="1"/>
    <col min="11" max="11" width="4.42578125" style="1" customWidth="1"/>
    <col min="12" max="16384" width="9.140625" style="1"/>
  </cols>
  <sheetData>
    <row r="2" spans="1:6" ht="15.75" x14ac:dyDescent="0.25">
      <c r="A2" s="17" t="s">
        <v>12</v>
      </c>
      <c r="B2" s="17" t="s">
        <v>69</v>
      </c>
    </row>
    <row r="3" spans="1:6" ht="15.75" x14ac:dyDescent="0.25">
      <c r="B3" s="2" t="s">
        <v>36</v>
      </c>
    </row>
    <row r="6" spans="1:6" x14ac:dyDescent="0.2">
      <c r="B6" s="1" t="s">
        <v>37</v>
      </c>
      <c r="C6" s="21">
        <v>100000</v>
      </c>
    </row>
    <row r="7" spans="1:6" x14ac:dyDescent="0.2">
      <c r="B7" s="1" t="s">
        <v>38</v>
      </c>
      <c r="C7" s="21">
        <f>D7*C6</f>
        <v>10000</v>
      </c>
      <c r="D7" s="22">
        <v>0.1</v>
      </c>
      <c r="F7" s="1" t="s">
        <v>39</v>
      </c>
    </row>
    <row r="8" spans="1:6" x14ac:dyDescent="0.2">
      <c r="B8" s="1" t="s">
        <v>34</v>
      </c>
      <c r="C8" s="21">
        <f>C6-C7</f>
        <v>90000</v>
      </c>
      <c r="F8" s="1" t="s">
        <v>40</v>
      </c>
    </row>
    <row r="9" spans="1:6" x14ac:dyDescent="0.2">
      <c r="B9" s="1" t="s">
        <v>17</v>
      </c>
      <c r="C9" s="23">
        <v>1.7000000000000001E-2</v>
      </c>
      <c r="D9" s="22" t="s">
        <v>20</v>
      </c>
    </row>
    <row r="10" spans="1:6" x14ac:dyDescent="0.2">
      <c r="B10" s="1" t="s">
        <v>21</v>
      </c>
      <c r="C10" s="1">
        <v>48</v>
      </c>
      <c r="D10" s="22" t="s">
        <v>25</v>
      </c>
      <c r="F10" s="1" t="s">
        <v>41</v>
      </c>
    </row>
    <row r="11" spans="1:6" ht="11.25" customHeight="1" x14ac:dyDescent="0.2">
      <c r="C11" s="24"/>
    </row>
    <row r="12" spans="1:6" x14ac:dyDescent="0.2">
      <c r="B12" s="1" t="s">
        <v>42</v>
      </c>
      <c r="C12" s="1">
        <f>C9*(1+C9)^C10/((1+C9)^C10-1)</f>
        <v>3.0643886888291831E-2</v>
      </c>
      <c r="E12" s="1" t="s">
        <v>43</v>
      </c>
    </row>
    <row r="13" spans="1:6" x14ac:dyDescent="0.2">
      <c r="C13" s="24"/>
    </row>
    <row r="14" spans="1:6" x14ac:dyDescent="0.2">
      <c r="B14" s="25" t="s">
        <v>44</v>
      </c>
      <c r="C14" s="26">
        <f>C12*C8</f>
        <v>2757.9498199462646</v>
      </c>
    </row>
    <row r="15" spans="1:6" x14ac:dyDescent="0.2">
      <c r="C15" s="27"/>
    </row>
    <row r="16" spans="1:6" x14ac:dyDescent="0.2">
      <c r="B16" s="25" t="s">
        <v>44</v>
      </c>
      <c r="C16" s="26">
        <f>PMT(C9,C10,-C8)</f>
        <v>2757.9498199462541</v>
      </c>
      <c r="E16" s="1" t="s">
        <v>91</v>
      </c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"/>
  <sheetViews>
    <sheetView showGridLines="0" zoomScale="140" zoomScaleNormal="140" workbookViewId="0">
      <selection activeCell="D10" sqref="D10"/>
    </sheetView>
  </sheetViews>
  <sheetFormatPr defaultColWidth="9.140625" defaultRowHeight="12.75" x14ac:dyDescent="0.2"/>
  <cols>
    <col min="1" max="1" width="4.140625" style="1" customWidth="1"/>
    <col min="2" max="2" width="33.140625" style="1" customWidth="1"/>
    <col min="3" max="3" width="7.85546875" style="1" customWidth="1"/>
    <col min="4" max="4" width="8.85546875" style="1" customWidth="1"/>
    <col min="5" max="5" width="5" style="1" customWidth="1"/>
    <col min="6" max="6" width="17.7109375" style="1" customWidth="1"/>
    <col min="7" max="8" width="9.140625" style="1"/>
    <col min="9" max="9" width="5" style="1" customWidth="1"/>
    <col min="10" max="10" width="17.28515625" style="1" customWidth="1"/>
    <col min="11" max="16384" width="9.140625" style="1"/>
  </cols>
  <sheetData>
    <row r="2" spans="1:11" ht="15.75" x14ac:dyDescent="0.25">
      <c r="A2" s="1" t="s">
        <v>28</v>
      </c>
      <c r="B2" s="2" t="s">
        <v>101</v>
      </c>
    </row>
    <row r="3" spans="1:11" ht="15.75" x14ac:dyDescent="0.25">
      <c r="B3" s="2" t="s">
        <v>100</v>
      </c>
    </row>
    <row r="4" spans="1:11" x14ac:dyDescent="0.2">
      <c r="B4" s="3"/>
    </row>
    <row r="5" spans="1:11" x14ac:dyDescent="0.2">
      <c r="A5" s="3"/>
    </row>
    <row r="6" spans="1:11" x14ac:dyDescent="0.2">
      <c r="B6" s="1" t="s">
        <v>1</v>
      </c>
      <c r="C6" s="1" t="s">
        <v>2</v>
      </c>
      <c r="D6" s="4">
        <v>0.14899999999999999</v>
      </c>
      <c r="F6" s="4" t="s">
        <v>3</v>
      </c>
      <c r="G6" s="1" t="s">
        <v>4</v>
      </c>
      <c r="H6" s="5">
        <f>1+D6</f>
        <v>1.149</v>
      </c>
      <c r="J6" s="1" t="s">
        <v>5</v>
      </c>
      <c r="K6" s="6">
        <f>H6/H7</f>
        <v>1.0960602880854717</v>
      </c>
    </row>
    <row r="7" spans="1:11" x14ac:dyDescent="0.2">
      <c r="B7" s="1" t="s">
        <v>6</v>
      </c>
      <c r="C7" s="1" t="s">
        <v>7</v>
      </c>
      <c r="D7" s="4">
        <v>4.8300000000000003E-2</v>
      </c>
      <c r="G7" s="1" t="s">
        <v>8</v>
      </c>
      <c r="H7" s="5">
        <f>1+D7</f>
        <v>1.0483</v>
      </c>
    </row>
    <row r="8" spans="1:11" ht="18" customHeight="1" x14ac:dyDescent="0.2"/>
    <row r="9" spans="1:11" x14ac:dyDescent="0.2">
      <c r="B9" s="1" t="s">
        <v>9</v>
      </c>
      <c r="C9" s="7" t="s">
        <v>10</v>
      </c>
      <c r="D9" s="58">
        <f>K6-1</f>
        <v>9.6060288085471734E-2</v>
      </c>
    </row>
    <row r="10" spans="1:11" x14ac:dyDescent="0.2">
      <c r="D10" s="58">
        <f>(1+D6)/(1+D7)-1</f>
        <v>9.6060288085471734E-2</v>
      </c>
      <c r="E10" s="1" t="s">
        <v>11</v>
      </c>
    </row>
    <row r="11" spans="1:11" x14ac:dyDescent="0.2">
      <c r="D11" s="50"/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5"/>
  <sheetViews>
    <sheetView showGridLines="0" zoomScale="140" zoomScaleNormal="140" workbookViewId="0">
      <selection activeCell="M11" sqref="M11"/>
    </sheetView>
  </sheetViews>
  <sheetFormatPr defaultColWidth="8.7109375" defaultRowHeight="12.75" x14ac:dyDescent="0.2"/>
  <cols>
    <col min="1" max="1" width="4.140625" customWidth="1"/>
    <col min="3" max="3" width="9.28515625" customWidth="1"/>
    <col min="4" max="4" width="10" customWidth="1"/>
    <col min="5" max="5" width="5" customWidth="1"/>
    <col min="6" max="6" width="4.28515625" customWidth="1"/>
    <col min="8" max="8" width="10.85546875" customWidth="1"/>
    <col min="9" max="9" width="10" bestFit="1" customWidth="1"/>
    <col min="12" max="12" width="3.140625" customWidth="1"/>
    <col min="13" max="14" width="9.85546875" customWidth="1"/>
  </cols>
  <sheetData>
    <row r="2" spans="1:14" x14ac:dyDescent="0.2">
      <c r="A2" s="60" t="s">
        <v>35</v>
      </c>
      <c r="B2" s="60" t="s">
        <v>102</v>
      </c>
    </row>
    <row r="3" spans="1:14" x14ac:dyDescent="0.2">
      <c r="B3" s="3" t="s">
        <v>103</v>
      </c>
    </row>
    <row r="4" spans="1:14" x14ac:dyDescent="0.2">
      <c r="L4" s="9" t="s">
        <v>13</v>
      </c>
      <c r="M4" s="9" t="s">
        <v>14</v>
      </c>
      <c r="N4" s="9" t="s">
        <v>15</v>
      </c>
    </row>
    <row r="5" spans="1:14" x14ac:dyDescent="0.2">
      <c r="B5" s="3"/>
      <c r="C5" t="s">
        <v>16</v>
      </c>
      <c r="D5" s="10">
        <v>10000</v>
      </c>
      <c r="H5" t="s">
        <v>17</v>
      </c>
      <c r="I5" s="59">
        <f>D6/D5</f>
        <v>0.10979999999999999</v>
      </c>
      <c r="L5">
        <v>0</v>
      </c>
      <c r="M5" s="10">
        <v>0</v>
      </c>
      <c r="N5" s="10">
        <f>D5</f>
        <v>10000</v>
      </c>
    </row>
    <row r="6" spans="1:14" x14ac:dyDescent="0.2">
      <c r="B6" s="3"/>
      <c r="C6" t="s">
        <v>18</v>
      </c>
      <c r="D6" s="10">
        <v>1098</v>
      </c>
      <c r="H6" t="s">
        <v>19</v>
      </c>
      <c r="I6" s="59">
        <f>(1+I5)^(30/D7)-1</f>
        <v>1.1388251338372957E-2</v>
      </c>
      <c r="J6" t="s">
        <v>20</v>
      </c>
      <c r="L6">
        <v>1</v>
      </c>
      <c r="M6" s="10">
        <f t="shared" ref="M6:M14" si="0">N5*$I$6</f>
        <v>113.88251338372956</v>
      </c>
      <c r="N6" s="10">
        <f t="shared" ref="N6:N14" si="1">M6+N5</f>
        <v>10113.882513383729</v>
      </c>
    </row>
    <row r="7" spans="1:14" x14ac:dyDescent="0.2">
      <c r="B7" s="3"/>
      <c r="C7" t="s">
        <v>21</v>
      </c>
      <c r="D7">
        <v>276</v>
      </c>
      <c r="E7" t="s">
        <v>22</v>
      </c>
      <c r="H7" t="s">
        <v>23</v>
      </c>
      <c r="I7" s="59">
        <f>(1+I5)^(1/D7)-1</f>
        <v>3.7753436015619535E-4</v>
      </c>
      <c r="J7" t="s">
        <v>24</v>
      </c>
      <c r="L7">
        <v>2</v>
      </c>
      <c r="M7" s="10">
        <f t="shared" si="0"/>
        <v>115.17943606918909</v>
      </c>
      <c r="N7" s="10">
        <f t="shared" si="1"/>
        <v>10229.061949452918</v>
      </c>
    </row>
    <row r="8" spans="1:14" x14ac:dyDescent="0.2">
      <c r="B8" s="3"/>
      <c r="D8" s="12">
        <f>D7/30</f>
        <v>9.1999999999999993</v>
      </c>
      <c r="E8" t="s">
        <v>25</v>
      </c>
      <c r="H8" s="25" t="s">
        <v>26</v>
      </c>
      <c r="I8" s="57">
        <f>(I6+1)^12-1</f>
        <v>0.14555211846366278</v>
      </c>
      <c r="J8" s="13" t="s">
        <v>27</v>
      </c>
      <c r="L8">
        <v>3</v>
      </c>
      <c r="M8" s="10">
        <f t="shared" si="0"/>
        <v>116.49112843615708</v>
      </c>
      <c r="N8" s="10">
        <f t="shared" si="1"/>
        <v>10345.553077889075</v>
      </c>
    </row>
    <row r="9" spans="1:14" x14ac:dyDescent="0.2">
      <c r="I9" s="59">
        <f>(1+I5)^(360/D7)-1</f>
        <v>0.14555211846366389</v>
      </c>
      <c r="J9" t="s">
        <v>27</v>
      </c>
      <c r="L9">
        <v>4</v>
      </c>
      <c r="M9" s="10">
        <f t="shared" si="0"/>
        <v>117.81775868547872</v>
      </c>
      <c r="N9" s="10">
        <f t="shared" si="1"/>
        <v>10463.370836574553</v>
      </c>
    </row>
    <row r="10" spans="1:14" x14ac:dyDescent="0.2">
      <c r="C10" s="60" t="s">
        <v>32</v>
      </c>
      <c r="D10" s="10">
        <f>D5+D6</f>
        <v>11098</v>
      </c>
      <c r="I10" s="59">
        <f>(1+I7)^360-1</f>
        <v>0.14555211846366833</v>
      </c>
      <c r="J10" t="s">
        <v>27</v>
      </c>
      <c r="L10">
        <v>5</v>
      </c>
      <c r="M10" s="10">
        <f t="shared" si="0"/>
        <v>119.15949693351271</v>
      </c>
      <c r="N10" s="10">
        <f t="shared" si="1"/>
        <v>10582.530333508066</v>
      </c>
    </row>
    <row r="11" spans="1:14" x14ac:dyDescent="0.2">
      <c r="C11" s="60" t="s">
        <v>92</v>
      </c>
      <c r="D11" s="61">
        <f>D10/D5</f>
        <v>1.1097999999999999</v>
      </c>
      <c r="I11" s="14"/>
      <c r="L11">
        <v>6</v>
      </c>
      <c r="M11" s="10">
        <f t="shared" si="0"/>
        <v>120.51651523394564</v>
      </c>
      <c r="N11" s="10">
        <f t="shared" si="1"/>
        <v>10703.046848742011</v>
      </c>
    </row>
    <row r="12" spans="1:14" x14ac:dyDescent="0.2">
      <c r="C12" s="60" t="s">
        <v>17</v>
      </c>
      <c r="D12" s="62">
        <f>(D11^(1/D7)-1)</f>
        <v>3.7753436015619535E-4</v>
      </c>
      <c r="I12" s="11"/>
      <c r="L12">
        <v>7</v>
      </c>
      <c r="M12" s="10">
        <f t="shared" si="0"/>
        <v>121.88898759985466</v>
      </c>
      <c r="N12" s="10">
        <f t="shared" si="1"/>
        <v>10824.935836341865</v>
      </c>
    </row>
    <row r="13" spans="1:14" x14ac:dyDescent="0.2">
      <c r="C13" s="25" t="s">
        <v>26</v>
      </c>
      <c r="D13" s="57">
        <f>(1+D12)^360-1</f>
        <v>0.14555211846366833</v>
      </c>
      <c r="L13">
        <f>L12+1</f>
        <v>8</v>
      </c>
      <c r="M13" s="10">
        <f t="shared" si="0"/>
        <v>123.27709002602163</v>
      </c>
      <c r="N13" s="10">
        <f t="shared" si="1"/>
        <v>10948.212926367887</v>
      </c>
    </row>
    <row r="14" spans="1:14" x14ac:dyDescent="0.2">
      <c r="D14" s="15"/>
      <c r="L14">
        <f>L13+1</f>
        <v>9</v>
      </c>
      <c r="M14" s="10">
        <f t="shared" si="0"/>
        <v>124.6810005115012</v>
      </c>
      <c r="N14" s="10">
        <f t="shared" si="1"/>
        <v>11072.893926879387</v>
      </c>
    </row>
    <row r="15" spans="1:14" x14ac:dyDescent="0.2">
      <c r="M15" s="16">
        <f>SUM(M5:M14)</f>
        <v>1072.8939268793902</v>
      </c>
      <c r="N15" s="1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5"/>
  <sheetViews>
    <sheetView showGridLines="0" topLeftCell="A8" zoomScale="140" zoomScaleNormal="140" workbookViewId="0">
      <selection activeCell="A22" sqref="A22"/>
    </sheetView>
  </sheetViews>
  <sheetFormatPr defaultColWidth="9.140625" defaultRowHeight="12.75" x14ac:dyDescent="0.2"/>
  <cols>
    <col min="1" max="1" width="3.42578125" customWidth="1"/>
    <col min="2" max="2" width="16.85546875" style="1" customWidth="1"/>
    <col min="3" max="3" width="13.42578125" style="1" customWidth="1"/>
    <col min="4" max="4" width="9.140625" style="1"/>
    <col min="5" max="5" width="8.5703125" style="1" customWidth="1"/>
    <col min="6" max="7" width="9.140625" style="1"/>
    <col min="8" max="8" width="10.85546875" style="1" customWidth="1"/>
    <col min="9" max="9" width="9.140625" style="1"/>
    <col min="10" max="10" width="1.85546875" style="1" customWidth="1"/>
    <col min="11" max="11" width="4.42578125" style="1" customWidth="1"/>
  </cols>
  <sheetData>
    <row r="2" spans="1:6" ht="15.75" x14ac:dyDescent="0.25">
      <c r="A2" s="60" t="s">
        <v>45</v>
      </c>
      <c r="B2" s="2" t="s">
        <v>98</v>
      </c>
    </row>
    <row r="3" spans="1:6" x14ac:dyDescent="0.2">
      <c r="B3" s="1" t="s">
        <v>99</v>
      </c>
    </row>
    <row r="4" spans="1:6" ht="15.75" x14ac:dyDescent="0.25">
      <c r="B4" s="2" t="s">
        <v>46</v>
      </c>
    </row>
    <row r="6" spans="1:6" x14ac:dyDescent="0.2">
      <c r="B6" s="1" t="s">
        <v>37</v>
      </c>
      <c r="C6" s="21">
        <v>35000</v>
      </c>
    </row>
    <row r="7" spans="1:6" x14ac:dyDescent="0.2">
      <c r="B7" s="1" t="s">
        <v>38</v>
      </c>
      <c r="C7" s="21">
        <f>D7*C6</f>
        <v>5250</v>
      </c>
      <c r="D7" s="22">
        <v>0.15</v>
      </c>
    </row>
    <row r="8" spans="1:6" x14ac:dyDescent="0.2">
      <c r="B8" s="1" t="s">
        <v>21</v>
      </c>
      <c r="C8" s="28">
        <v>24</v>
      </c>
      <c r="D8" s="22" t="s">
        <v>25</v>
      </c>
    </row>
    <row r="9" spans="1:6" x14ac:dyDescent="0.2">
      <c r="B9" s="1" t="s">
        <v>44</v>
      </c>
      <c r="C9" s="21">
        <v>1500</v>
      </c>
    </row>
    <row r="10" spans="1:6" ht="11.25" customHeight="1" x14ac:dyDescent="0.2">
      <c r="C10" s="24"/>
    </row>
    <row r="11" spans="1:6" x14ac:dyDescent="0.2">
      <c r="B11" s="1" t="s">
        <v>34</v>
      </c>
      <c r="C11" s="24">
        <f>C6-C7</f>
        <v>29750</v>
      </c>
      <c r="F11" s="1" t="s">
        <v>47</v>
      </c>
    </row>
    <row r="12" spans="1:6" x14ac:dyDescent="0.2">
      <c r="C12" s="24"/>
    </row>
    <row r="13" spans="1:6" x14ac:dyDescent="0.2">
      <c r="B13" s="1" t="s">
        <v>48</v>
      </c>
      <c r="C13" s="24"/>
    </row>
    <row r="14" spans="1:6" x14ac:dyDescent="0.2">
      <c r="B14" s="1" t="s">
        <v>42</v>
      </c>
      <c r="C14" s="29">
        <f>C9/C11</f>
        <v>5.0420168067226892E-2</v>
      </c>
    </row>
    <row r="15" spans="1:6" x14ac:dyDescent="0.2">
      <c r="C15" s="51">
        <f>C11/C9</f>
        <v>19.833333333333332</v>
      </c>
    </row>
    <row r="16" spans="1:6" x14ac:dyDescent="0.2">
      <c r="B16" s="1" t="s">
        <v>49</v>
      </c>
    </row>
    <row r="18" spans="2:5" x14ac:dyDescent="0.2">
      <c r="B18" s="7" t="s">
        <v>50</v>
      </c>
      <c r="C18" s="30">
        <v>1.5853099999999998E-2</v>
      </c>
      <c r="D18" s="8" t="s">
        <v>20</v>
      </c>
      <c r="E18" s="1" t="s">
        <v>51</v>
      </c>
    </row>
    <row r="19" spans="2:5" x14ac:dyDescent="0.2">
      <c r="B19" s="1" t="s">
        <v>52</v>
      </c>
      <c r="C19" s="1">
        <f>C18*(1+C18)^C8/((1+C18)^C8-1)</f>
        <v>5.0420142354225518E-2</v>
      </c>
      <c r="E19" s="1" t="s">
        <v>43</v>
      </c>
    </row>
    <row r="20" spans="2:5" x14ac:dyDescent="0.2">
      <c r="B20" s="1" t="s">
        <v>53</v>
      </c>
      <c r="C20" s="1">
        <f>C19-C14</f>
        <v>-2.5713001373939282E-8</v>
      </c>
      <c r="E20" s="1" t="s">
        <v>54</v>
      </c>
    </row>
    <row r="21" spans="2:5" x14ac:dyDescent="0.2">
      <c r="B21" s="1" t="s">
        <v>55</v>
      </c>
      <c r="C21" s="31">
        <f>C20/C14</f>
        <v>-5.0997452724979575E-7</v>
      </c>
      <c r="D21" s="31"/>
      <c r="E21" s="1" t="s">
        <v>56</v>
      </c>
    </row>
    <row r="23" spans="2:5" x14ac:dyDescent="0.2">
      <c r="B23" s="1" t="s">
        <v>57</v>
      </c>
    </row>
    <row r="24" spans="2:5" ht="8.25" customHeight="1" x14ac:dyDescent="0.2">
      <c r="C24" s="27"/>
    </row>
    <row r="25" spans="2:5" x14ac:dyDescent="0.2">
      <c r="B25" s="7" t="s">
        <v>17</v>
      </c>
      <c r="C25" s="30">
        <f>RATE(C8,C9,-C11,,0)</f>
        <v>1.5853144097269196E-2</v>
      </c>
      <c r="D25" s="4" t="s">
        <v>20</v>
      </c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17AC-C70B-4EAE-87CD-08F9EFB7B353}">
  <dimension ref="A2:P31"/>
  <sheetViews>
    <sheetView showGridLines="0" topLeftCell="A12" zoomScale="140" zoomScaleNormal="140" workbookViewId="0">
      <selection activeCell="B26" sqref="B26"/>
    </sheetView>
  </sheetViews>
  <sheetFormatPr defaultColWidth="9.140625" defaultRowHeight="12.75" x14ac:dyDescent="0.2"/>
  <cols>
    <col min="1" max="1" width="3.42578125" style="1" customWidth="1"/>
    <col min="2" max="2" width="13" style="1" customWidth="1"/>
    <col min="3" max="3" width="14.28515625" style="1" customWidth="1"/>
    <col min="4" max="4" width="7.140625" style="1" customWidth="1"/>
    <col min="5" max="5" width="3" style="1" customWidth="1"/>
    <col min="6" max="7" width="9.140625" style="1"/>
    <col min="8" max="8" width="10.85546875" style="1" customWidth="1"/>
    <col min="9" max="9" width="11.42578125" style="1" bestFit="1" customWidth="1"/>
    <col min="10" max="10" width="8.7109375" style="1" bestFit="1" customWidth="1"/>
    <col min="11" max="11" width="4.42578125" style="1" customWidth="1"/>
    <col min="12" max="16384" width="9.140625" style="1"/>
  </cols>
  <sheetData>
    <row r="2" spans="1:16" ht="15.75" x14ac:dyDescent="0.25">
      <c r="A2" s="17" t="s">
        <v>58</v>
      </c>
      <c r="B2" s="17" t="s">
        <v>74</v>
      </c>
    </row>
    <row r="3" spans="1:16" ht="15.75" x14ac:dyDescent="0.25">
      <c r="B3" s="2" t="s">
        <v>95</v>
      </c>
    </row>
    <row r="4" spans="1:16" ht="15.75" x14ac:dyDescent="0.25">
      <c r="B4" s="2" t="s">
        <v>80</v>
      </c>
    </row>
    <row r="5" spans="1:16" x14ac:dyDescent="0.2">
      <c r="B5" s="1" t="s">
        <v>96</v>
      </c>
    </row>
    <row r="6" spans="1:16" x14ac:dyDescent="0.2">
      <c r="B6" s="1" t="s">
        <v>97</v>
      </c>
    </row>
    <row r="7" spans="1:16" x14ac:dyDescent="0.2">
      <c r="B7" s="1" t="s">
        <v>79</v>
      </c>
    </row>
    <row r="9" spans="1:16" x14ac:dyDescent="0.2">
      <c r="B9" s="1" t="s">
        <v>34</v>
      </c>
      <c r="C9" s="21">
        <v>10000</v>
      </c>
    </row>
    <row r="10" spans="1:16" x14ac:dyDescent="0.2">
      <c r="B10" s="1" t="s">
        <v>93</v>
      </c>
      <c r="C10" s="66">
        <v>47253</v>
      </c>
    </row>
    <row r="11" spans="1:16" x14ac:dyDescent="0.2">
      <c r="B11" s="1" t="s">
        <v>94</v>
      </c>
      <c r="C11" s="66">
        <v>45939</v>
      </c>
    </row>
    <row r="12" spans="1:16" x14ac:dyDescent="0.2">
      <c r="B12" s="1" t="s">
        <v>21</v>
      </c>
      <c r="C12" s="1">
        <f>DAYS360(C11,C10)</f>
        <v>1296</v>
      </c>
      <c r="D12" s="1" t="s">
        <v>22</v>
      </c>
    </row>
    <row r="13" spans="1:16" x14ac:dyDescent="0.2">
      <c r="B13" s="1" t="s">
        <v>21</v>
      </c>
      <c r="C13" s="1">
        <f>ROUND(C12/30,0)</f>
        <v>43</v>
      </c>
      <c r="D13" s="22" t="s">
        <v>25</v>
      </c>
      <c r="F13" s="1" t="s">
        <v>41</v>
      </c>
      <c r="O13" s="1" t="s">
        <v>21</v>
      </c>
      <c r="P13" s="1">
        <v>43</v>
      </c>
    </row>
    <row r="14" spans="1:16" x14ac:dyDescent="0.2">
      <c r="B14" s="1" t="s">
        <v>17</v>
      </c>
      <c r="C14" s="23">
        <v>0.08</v>
      </c>
      <c r="D14" s="22" t="s">
        <v>27</v>
      </c>
      <c r="F14" s="1" t="s">
        <v>75</v>
      </c>
    </row>
    <row r="15" spans="1:16" x14ac:dyDescent="0.2">
      <c r="C15" s="23">
        <f>(1+C14)^(1/12)-1</f>
        <v>6.4340301100034303E-3</v>
      </c>
      <c r="D15" s="22" t="s">
        <v>20</v>
      </c>
    </row>
    <row r="16" spans="1:16" x14ac:dyDescent="0.2">
      <c r="B16" s="1" t="s">
        <v>76</v>
      </c>
      <c r="C16" s="4">
        <v>4.3400000000000001E-2</v>
      </c>
      <c r="D16" s="1" t="s">
        <v>27</v>
      </c>
      <c r="F16" s="1" t="s">
        <v>87</v>
      </c>
    </row>
    <row r="17" spans="2:6" x14ac:dyDescent="0.2">
      <c r="C17" s="23">
        <f>(1+C16)^(1/12)-1</f>
        <v>3.5466588636137164E-3</v>
      </c>
      <c r="D17" s="22" t="s">
        <v>20</v>
      </c>
    </row>
    <row r="18" spans="2:6" ht="11.25" customHeight="1" x14ac:dyDescent="0.2">
      <c r="B18" s="1" t="s">
        <v>77</v>
      </c>
      <c r="C18" s="55">
        <v>0.17499999999999999</v>
      </c>
      <c r="F18" s="1" t="s">
        <v>78</v>
      </c>
    </row>
    <row r="19" spans="2:6" x14ac:dyDescent="0.2">
      <c r="C19" s="24"/>
    </row>
    <row r="20" spans="2:6" x14ac:dyDescent="0.2">
      <c r="B20" s="1" t="s">
        <v>81</v>
      </c>
      <c r="C20" s="4">
        <f>(1+C15)*(1+C17)-1</f>
        <v>1.0003508283535467E-2</v>
      </c>
      <c r="D20" s="1" t="s">
        <v>20</v>
      </c>
      <c r="F20" s="1" t="s">
        <v>90</v>
      </c>
    </row>
    <row r="22" spans="2:6" x14ac:dyDescent="0.2">
      <c r="B22" s="25" t="s">
        <v>83</v>
      </c>
      <c r="C22" s="26">
        <f>C9*(1+C20)^C13</f>
        <v>15342.06929153425</v>
      </c>
    </row>
    <row r="23" spans="2:6" x14ac:dyDescent="0.2">
      <c r="B23" s="1" t="s">
        <v>82</v>
      </c>
      <c r="C23" s="56">
        <f>C22-C9</f>
        <v>5342.0692915342497</v>
      </c>
      <c r="F23" s="1" t="s">
        <v>84</v>
      </c>
    </row>
    <row r="24" spans="2:6" x14ac:dyDescent="0.2">
      <c r="B24" s="1" t="s">
        <v>77</v>
      </c>
      <c r="C24" s="56">
        <f>C23*C18</f>
        <v>934.86212601849365</v>
      </c>
      <c r="F24" s="1" t="s">
        <v>85</v>
      </c>
    </row>
    <row r="26" spans="2:6" x14ac:dyDescent="0.2">
      <c r="B26" s="25" t="s">
        <v>32</v>
      </c>
      <c r="C26" s="26">
        <f>C22-C24</f>
        <v>14407.207165515756</v>
      </c>
      <c r="F26" s="1" t="s">
        <v>86</v>
      </c>
    </row>
    <row r="28" spans="2:6" x14ac:dyDescent="0.2">
      <c r="B28" s="1" t="s">
        <v>88</v>
      </c>
      <c r="C28" s="1">
        <f>C26/C9</f>
        <v>1.4407207165515756</v>
      </c>
    </row>
    <row r="29" spans="2:6" x14ac:dyDescent="0.2">
      <c r="B29" s="25" t="s">
        <v>10</v>
      </c>
      <c r="C29" s="57">
        <f>C28^(1/C13)-1</f>
        <v>8.5278658090583992E-3</v>
      </c>
      <c r="D29" s="1" t="s">
        <v>27</v>
      </c>
      <c r="F29" s="1" t="s">
        <v>89</v>
      </c>
    </row>
    <row r="31" spans="2:6" x14ac:dyDescent="0.2">
      <c r="C31" s="27"/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0"/>
  <sheetViews>
    <sheetView showGridLines="0" zoomScale="140" zoomScaleNormal="140" workbookViewId="0">
      <selection activeCell="B2" sqref="B2"/>
    </sheetView>
  </sheetViews>
  <sheetFormatPr defaultColWidth="8.7109375" defaultRowHeight="12.75" x14ac:dyDescent="0.2"/>
  <cols>
    <col min="1" max="1" width="3.42578125" customWidth="1"/>
    <col min="2" max="2" width="7.42578125" customWidth="1"/>
    <col min="3" max="3" width="16" customWidth="1"/>
    <col min="4" max="4" width="9.42578125" customWidth="1"/>
    <col min="5" max="5" width="11.5703125" customWidth="1"/>
    <col min="6" max="6" width="16.28515625" customWidth="1"/>
    <col min="7" max="7" width="4" customWidth="1"/>
    <col min="8" max="8" width="2.85546875" customWidth="1"/>
    <col min="10" max="10" width="11.5703125" customWidth="1"/>
    <col min="11" max="11" width="9.42578125" customWidth="1"/>
    <col min="12" max="12" width="12.140625" customWidth="1"/>
    <col min="13" max="13" width="13.85546875" customWidth="1"/>
  </cols>
  <sheetData>
    <row r="2" spans="1:13" ht="15.75" x14ac:dyDescent="0.25">
      <c r="A2" s="53" t="s">
        <v>73</v>
      </c>
      <c r="B2" s="32" t="s">
        <v>104</v>
      </c>
    </row>
    <row r="3" spans="1:13" ht="15.75" x14ac:dyDescent="0.25">
      <c r="B3" s="32" t="s">
        <v>105</v>
      </c>
    </row>
    <row r="6" spans="1:13" x14ac:dyDescent="0.2">
      <c r="B6" t="s">
        <v>34</v>
      </c>
      <c r="C6" s="18">
        <v>30000</v>
      </c>
      <c r="F6" s="3" t="s">
        <v>59</v>
      </c>
    </row>
    <row r="7" spans="1:13" x14ac:dyDescent="0.2">
      <c r="B7" s="3" t="s">
        <v>17</v>
      </c>
      <c r="C7" s="15">
        <v>0.02</v>
      </c>
      <c r="D7" s="3" t="s">
        <v>20</v>
      </c>
      <c r="E7" s="3"/>
      <c r="F7" t="s">
        <v>60</v>
      </c>
    </row>
    <row r="8" spans="1:13" x14ac:dyDescent="0.2">
      <c r="B8" s="3" t="s">
        <v>21</v>
      </c>
      <c r="C8">
        <v>4</v>
      </c>
      <c r="D8" s="3" t="s">
        <v>25</v>
      </c>
      <c r="F8" s="3"/>
    </row>
    <row r="9" spans="1:13" ht="13.5" thickBot="1" x14ac:dyDescent="0.25"/>
    <row r="10" spans="1:13" ht="13.5" thickBot="1" x14ac:dyDescent="0.25">
      <c r="B10" s="63" t="s">
        <v>61</v>
      </c>
      <c r="C10" s="64"/>
      <c r="D10" s="64"/>
      <c r="E10" s="64"/>
      <c r="F10" s="65"/>
      <c r="I10" s="63" t="s">
        <v>62</v>
      </c>
      <c r="J10" s="64"/>
      <c r="K10" s="64"/>
      <c r="L10" s="64"/>
      <c r="M10" s="65"/>
    </row>
    <row r="11" spans="1:13" x14ac:dyDescent="0.2">
      <c r="B11" s="33" t="s">
        <v>63</v>
      </c>
      <c r="C11" s="34" t="s">
        <v>64</v>
      </c>
      <c r="D11" s="35" t="s">
        <v>65</v>
      </c>
      <c r="E11" s="34" t="s">
        <v>66</v>
      </c>
      <c r="F11" s="36" t="s">
        <v>67</v>
      </c>
      <c r="I11" s="33" t="s">
        <v>63</v>
      </c>
      <c r="J11" s="34" t="s">
        <v>64</v>
      </c>
      <c r="K11" s="35" t="s">
        <v>65</v>
      </c>
      <c r="L11" s="34" t="s">
        <v>66</v>
      </c>
      <c r="M11" s="36" t="s">
        <v>67</v>
      </c>
    </row>
    <row r="12" spans="1:13" x14ac:dyDescent="0.2">
      <c r="B12" s="37">
        <v>0</v>
      </c>
      <c r="C12" s="38"/>
      <c r="D12" s="39"/>
      <c r="E12" s="40"/>
      <c r="F12" s="41">
        <f>C6</f>
        <v>30000</v>
      </c>
      <c r="I12" s="37">
        <v>0</v>
      </c>
      <c r="J12" s="42"/>
      <c r="K12" s="39"/>
      <c r="L12" s="38"/>
      <c r="M12" s="41">
        <f>C6</f>
        <v>30000</v>
      </c>
    </row>
    <row r="13" spans="1:13" x14ac:dyDescent="0.2">
      <c r="B13" s="37">
        <f>B12+1</f>
        <v>1</v>
      </c>
      <c r="C13" s="40">
        <f>E13+D13</f>
        <v>8100</v>
      </c>
      <c r="D13" s="43">
        <f>F12*$C$7</f>
        <v>600</v>
      </c>
      <c r="E13" s="40">
        <f>$C$6/$C$8</f>
        <v>7500</v>
      </c>
      <c r="F13" s="41">
        <f>F12-E13</f>
        <v>22500</v>
      </c>
      <c r="I13" s="37">
        <f>I12+1</f>
        <v>1</v>
      </c>
      <c r="J13" s="42">
        <f>PMT($C$7,$C$8,-$C$6)</f>
        <v>7878.7125801386255</v>
      </c>
      <c r="K13" s="44">
        <f>M12*$C$7</f>
        <v>600</v>
      </c>
      <c r="L13" s="42">
        <f>J13-K13</f>
        <v>7278.7125801386255</v>
      </c>
      <c r="M13" s="41">
        <f>M12-L13</f>
        <v>22721.287419861375</v>
      </c>
    </row>
    <row r="14" spans="1:13" x14ac:dyDescent="0.2">
      <c r="B14" s="37">
        <f>B13+1</f>
        <v>2</v>
      </c>
      <c r="C14" s="40">
        <f>E14+D14</f>
        <v>7950</v>
      </c>
      <c r="D14" s="43">
        <f>F13*$C$7</f>
        <v>450</v>
      </c>
      <c r="E14" s="40">
        <f>$C$6/$C$8</f>
        <v>7500</v>
      </c>
      <c r="F14" s="41">
        <f>F13-E14</f>
        <v>15000</v>
      </c>
      <c r="I14" s="37">
        <f>I13+1</f>
        <v>2</v>
      </c>
      <c r="J14" s="42">
        <f>J13</f>
        <v>7878.7125801386255</v>
      </c>
      <c r="K14" s="44">
        <f>M13*$C$7</f>
        <v>454.42574839722749</v>
      </c>
      <c r="L14" s="42">
        <f>J14-K14</f>
        <v>7424.2868317413977</v>
      </c>
      <c r="M14" s="41">
        <f>M13-L14</f>
        <v>15297.000588119978</v>
      </c>
    </row>
    <row r="15" spans="1:13" x14ac:dyDescent="0.2">
      <c r="B15" s="37">
        <f>B14+1</f>
        <v>3</v>
      </c>
      <c r="C15" s="40">
        <f>E15+D15</f>
        <v>7800</v>
      </c>
      <c r="D15" s="43">
        <f>F14*$C$7</f>
        <v>300</v>
      </c>
      <c r="E15" s="40">
        <f>$C$6/$C$8</f>
        <v>7500</v>
      </c>
      <c r="F15" s="41">
        <f>F14-E15</f>
        <v>7500</v>
      </c>
      <c r="I15" s="37">
        <f>I14+1</f>
        <v>3</v>
      </c>
      <c r="J15" s="42">
        <f>J14</f>
        <v>7878.7125801386255</v>
      </c>
      <c r="K15" s="44">
        <f>M14*$C$7</f>
        <v>305.94001176239954</v>
      </c>
      <c r="L15" s="42">
        <f>J15-K15</f>
        <v>7572.7725683762255</v>
      </c>
      <c r="M15" s="41">
        <f>M14-L15</f>
        <v>7724.2280197437522</v>
      </c>
    </row>
    <row r="16" spans="1:13" x14ac:dyDescent="0.2">
      <c r="B16" s="37">
        <f>B15+1</f>
        <v>4</v>
      </c>
      <c r="C16" s="40">
        <f>E16+D16</f>
        <v>7650</v>
      </c>
      <c r="D16" s="43">
        <f>F15*$C$7</f>
        <v>150</v>
      </c>
      <c r="E16" s="40">
        <f>$C$6/$C$8</f>
        <v>7500</v>
      </c>
      <c r="F16" s="41">
        <f>F15-E16</f>
        <v>0</v>
      </c>
      <c r="I16" s="37">
        <f>I15+1</f>
        <v>4</v>
      </c>
      <c r="J16" s="42">
        <f>J15</f>
        <v>7878.7125801386255</v>
      </c>
      <c r="K16" s="44">
        <f>M15*$C$7</f>
        <v>154.48456039487505</v>
      </c>
      <c r="L16" s="42">
        <f>J16-K16</f>
        <v>7724.2280197437503</v>
      </c>
      <c r="M16" s="41">
        <f>M15-L16</f>
        <v>0</v>
      </c>
    </row>
    <row r="17" spans="2:13" x14ac:dyDescent="0.2">
      <c r="B17" s="45" t="s">
        <v>68</v>
      </c>
      <c r="C17" s="46">
        <f>SUM(C13:C16)</f>
        <v>31500</v>
      </c>
      <c r="D17" s="46">
        <f>SUM(D13:D16)</f>
        <v>1500</v>
      </c>
      <c r="E17" s="46">
        <f>SUM(E13:E16)</f>
        <v>30000</v>
      </c>
      <c r="F17" s="47"/>
      <c r="I17" s="45" t="s">
        <v>68</v>
      </c>
      <c r="J17" s="46">
        <f>SUM(J13:J16)</f>
        <v>31514.850320554502</v>
      </c>
      <c r="K17" s="46">
        <f>SUM(K13:K16)</f>
        <v>1514.8503205545019</v>
      </c>
      <c r="L17" s="46">
        <f>SUM(L13:L16)</f>
        <v>30000</v>
      </c>
      <c r="M17" s="47"/>
    </row>
    <row r="18" spans="2:13" x14ac:dyDescent="0.2">
      <c r="J18" s="48"/>
      <c r="K18" s="49"/>
    </row>
    <row r="20" spans="2:13" x14ac:dyDescent="0.2">
      <c r="B20" s="48"/>
      <c r="C20" s="49"/>
    </row>
  </sheetData>
  <mergeCells count="2">
    <mergeCell ref="B10:F10"/>
    <mergeCell ref="I10:M1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</vt:lpstr>
      <vt:lpstr>Q7</vt:lpstr>
    </vt:vector>
  </TitlesOfParts>
  <Company>Banco Reg. de Desenvolv. do Extremo Sul - BRDE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CarlosBoabaid</dc:creator>
  <dc:description/>
  <cp:lastModifiedBy>Carlos Boabaid Neto</cp:lastModifiedBy>
  <cp:revision>6</cp:revision>
  <cp:lastPrinted>2022-02-08T17:40:16Z</cp:lastPrinted>
  <dcterms:created xsi:type="dcterms:W3CDTF">2002-07-22T19:40:15Z</dcterms:created>
  <dcterms:modified xsi:type="dcterms:W3CDTF">2025-10-09T15:44:00Z</dcterms:modified>
  <dc:language>pt-BR</dc:language>
</cp:coreProperties>
</file>