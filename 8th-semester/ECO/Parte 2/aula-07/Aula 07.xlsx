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ocuments\IFSC\1_Docencia\0_ECO29009\1_material de aulas\"/>
    </mc:Choice>
  </mc:AlternateContent>
  <xr:revisionPtr revIDLastSave="0" documentId="13_ncr:1_{2133F45D-339B-43D0-8D92-75E73DEAF4AD}" xr6:coauthVersionLast="47" xr6:coauthVersionMax="47" xr10:uidLastSave="{00000000-0000-0000-0000-000000000000}"/>
  <bookViews>
    <workbookView xWindow="-120" yWindow="-120" windowWidth="20730" windowHeight="11160" firstSheet="4" activeTab="7" xr2:uid="{00000000-000D-0000-FFFF-FFFF00000000}"/>
  </bookViews>
  <sheets>
    <sheet name="Terminologia" sheetId="38" r:id="rId1"/>
    <sheet name="Série uniforme (ex 1)" sheetId="61" r:id="rId2"/>
    <sheet name="Série uniforme (ex 2)" sheetId="62" r:id="rId3"/>
    <sheet name="Série uniforme (ex 3)" sheetId="65" r:id="rId4"/>
    <sheet name="Série uniforme (ex 4)" sheetId="48" r:id="rId5"/>
    <sheet name="Série uniforme (ex 5)" sheetId="63" r:id="rId6"/>
    <sheet name="Série uniforme (ex 6)" sheetId="64" r:id="rId7"/>
    <sheet name="Amortização (exemplo 1)" sheetId="46" r:id="rId8"/>
    <sheet name="Amortização" sheetId="5" r:id="rId9"/>
    <sheet name="Amort (1)" sheetId="41" r:id="rId10"/>
    <sheet name="Amort (2)" sheetId="43" r:id="rId11"/>
    <sheet name="Amort (3)" sheetId="42" r:id="rId12"/>
    <sheet name="Amortização + corr monetária" sheetId="49" r:id="rId13"/>
    <sheet name="Amort + corr monet (1)" sheetId="54" r:id="rId14"/>
    <sheet name="Amort + corr monet (2)" sheetId="57" r:id="rId15"/>
    <sheet name="Amort + corr monet (3)" sheetId="58" r:id="rId16"/>
    <sheet name="Aula 08 Exercicios" sheetId="15" r:id="rId17"/>
    <sheet name="Aula 08 Exemplo leasing (1)" sheetId="59" r:id="rId18"/>
    <sheet name="Aula 08 Exemplo leasing (2)" sheetId="60" r:id="rId19"/>
  </sheets>
  <calcPr calcId="181029" iterateDelta="1E-4"/>
</workbook>
</file>

<file path=xl/calcChain.xml><?xml version="1.0" encoding="utf-8"?>
<calcChain xmlns="http://schemas.openxmlformats.org/spreadsheetml/2006/main">
  <c r="C15" i="65" l="1"/>
  <c r="C16" i="65" s="1"/>
  <c r="C18" i="65" s="1"/>
  <c r="C17" i="64"/>
  <c r="C15" i="64"/>
  <c r="C10" i="64"/>
  <c r="E6" i="64"/>
  <c r="E5" i="64"/>
  <c r="C11" i="64"/>
  <c r="C18" i="64" l="1"/>
  <c r="C9" i="63" l="1"/>
  <c r="C13" i="63"/>
  <c r="C18" i="63"/>
  <c r="C9" i="62"/>
  <c r="C10" i="62" s="1"/>
  <c r="C15" i="62" s="1"/>
  <c r="C13" i="62"/>
  <c r="C30" i="62" s="1"/>
  <c r="C19" i="62"/>
  <c r="C20" i="62"/>
  <c r="C22" i="62"/>
  <c r="C26" i="62"/>
  <c r="C29" i="62"/>
  <c r="C7" i="61"/>
  <c r="C11" i="61"/>
  <c r="C12" i="61" s="1"/>
  <c r="C17" i="61"/>
  <c r="C15" i="60"/>
  <c r="C30" i="60"/>
  <c r="C29" i="60"/>
  <c r="C25" i="59"/>
  <c r="E8" i="60"/>
  <c r="C24" i="60" s="1"/>
  <c r="C22" i="60"/>
  <c r="C23" i="60" s="1"/>
  <c r="C24" i="59"/>
  <c r="C18" i="59"/>
  <c r="C16" i="59" s="1"/>
  <c r="C19" i="59"/>
  <c r="C11" i="59"/>
  <c r="C12" i="59" s="1"/>
  <c r="C14" i="59" s="1"/>
  <c r="C15" i="59" s="1"/>
  <c r="H120" i="49"/>
  <c r="H121" i="49" s="1"/>
  <c r="H108" i="49"/>
  <c r="H109" i="49" s="1"/>
  <c r="H96" i="49"/>
  <c r="H97" i="49" s="1"/>
  <c r="H84" i="49"/>
  <c r="H85" i="49" s="1"/>
  <c r="H72" i="49"/>
  <c r="H73" i="49" s="1"/>
  <c r="O12" i="49"/>
  <c r="D24" i="49"/>
  <c r="D23" i="49"/>
  <c r="D22" i="49"/>
  <c r="D21" i="49"/>
  <c r="D20" i="49"/>
  <c r="D19" i="49"/>
  <c r="D18" i="49"/>
  <c r="D17" i="49"/>
  <c r="D16" i="49"/>
  <c r="D15" i="49"/>
  <c r="D14" i="49"/>
  <c r="H13" i="49"/>
  <c r="H14" i="49" s="1"/>
  <c r="H15" i="49" s="1"/>
  <c r="H16" i="49" s="1"/>
  <c r="H17" i="49" s="1"/>
  <c r="H18" i="49" s="1"/>
  <c r="H19" i="49" s="1"/>
  <c r="H20" i="49" s="1"/>
  <c r="H21" i="49" s="1"/>
  <c r="H22" i="49" s="1"/>
  <c r="H23" i="49" s="1"/>
  <c r="H24" i="49" s="1"/>
  <c r="H25" i="49" s="1"/>
  <c r="H26" i="49" s="1"/>
  <c r="H27" i="49" s="1"/>
  <c r="H28" i="49" s="1"/>
  <c r="H29" i="49" s="1"/>
  <c r="H30" i="49" s="1"/>
  <c r="H31" i="49" s="1"/>
  <c r="H32" i="49" s="1"/>
  <c r="H33" i="49" s="1"/>
  <c r="H34" i="49" s="1"/>
  <c r="H35" i="49" s="1"/>
  <c r="H36" i="49" s="1"/>
  <c r="H37" i="49" s="1"/>
  <c r="H38" i="49" s="1"/>
  <c r="H39" i="49" s="1"/>
  <c r="H40" i="49" s="1"/>
  <c r="H41" i="49" s="1"/>
  <c r="H42" i="49" s="1"/>
  <c r="H43" i="49" s="1"/>
  <c r="H44" i="49" s="1"/>
  <c r="H45" i="49" s="1"/>
  <c r="H46" i="49" s="1"/>
  <c r="H47" i="49" s="1"/>
  <c r="H48" i="49" s="1"/>
  <c r="H49" i="49" s="1"/>
  <c r="H50" i="49" s="1"/>
  <c r="H51" i="49" s="1"/>
  <c r="H52" i="49" s="1"/>
  <c r="H53" i="49" s="1"/>
  <c r="H54" i="49" s="1"/>
  <c r="H55" i="49" s="1"/>
  <c r="H56" i="49" s="1"/>
  <c r="H57" i="49" s="1"/>
  <c r="H58" i="49" s="1"/>
  <c r="H59" i="49" s="1"/>
  <c r="H60" i="49" s="1"/>
  <c r="H61" i="49" s="1"/>
  <c r="H62" i="49" s="1"/>
  <c r="H63" i="49" s="1"/>
  <c r="H64" i="49" s="1"/>
  <c r="H65" i="49" s="1"/>
  <c r="H66" i="49" s="1"/>
  <c r="H67" i="49" s="1"/>
  <c r="H68" i="49" s="1"/>
  <c r="H69" i="49" s="1"/>
  <c r="H70" i="49" s="1"/>
  <c r="H71" i="49" s="1"/>
  <c r="D13" i="49"/>
  <c r="A13" i="49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E12" i="49"/>
  <c r="C13" i="49" s="1"/>
  <c r="I6" i="49"/>
  <c r="E6" i="49"/>
  <c r="I4" i="49"/>
  <c r="L12" i="49" s="1"/>
  <c r="J18" i="46"/>
  <c r="J17" i="46"/>
  <c r="J16" i="46"/>
  <c r="J19" i="46" s="1"/>
  <c r="I10" i="46"/>
  <c r="I7" i="46"/>
  <c r="C16" i="48"/>
  <c r="C17" i="48" s="1"/>
  <c r="C13" i="48"/>
  <c r="C8" i="48"/>
  <c r="C14" i="63" l="1"/>
  <c r="C13" i="61"/>
  <c r="C15" i="61" s="1"/>
  <c r="C16" i="61" s="1"/>
  <c r="C31" i="60"/>
  <c r="C12" i="60"/>
  <c r="C13" i="60" s="1"/>
  <c r="C14" i="60" s="1"/>
  <c r="I13" i="49"/>
  <c r="I14" i="49" s="1"/>
  <c r="I15" i="49" s="1"/>
  <c r="I16" i="49" s="1"/>
  <c r="I17" i="49" s="1"/>
  <c r="I18" i="49" s="1"/>
  <c r="I19" i="49" s="1"/>
  <c r="I20" i="49" s="1"/>
  <c r="I21" i="49" s="1"/>
  <c r="I22" i="49" s="1"/>
  <c r="I23" i="49" s="1"/>
  <c r="I24" i="49" s="1"/>
  <c r="H74" i="49"/>
  <c r="H75" i="49" s="1"/>
  <c r="H76" i="49" s="1"/>
  <c r="H77" i="49" s="1"/>
  <c r="H78" i="49" s="1"/>
  <c r="H79" i="49" s="1"/>
  <c r="H80" i="49" s="1"/>
  <c r="H81" i="49" s="1"/>
  <c r="H82" i="49" s="1"/>
  <c r="H83" i="49" s="1"/>
  <c r="H86" i="49" s="1"/>
  <c r="H87" i="49" s="1"/>
  <c r="H88" i="49" s="1"/>
  <c r="H89" i="49" s="1"/>
  <c r="H90" i="49" s="1"/>
  <c r="H91" i="49" s="1"/>
  <c r="H92" i="49" s="1"/>
  <c r="H93" i="49" s="1"/>
  <c r="H94" i="49" s="1"/>
  <c r="H95" i="49" s="1"/>
  <c r="H98" i="49" s="1"/>
  <c r="H99" i="49" s="1"/>
  <c r="H100" i="49" s="1"/>
  <c r="H101" i="49" s="1"/>
  <c r="H102" i="49" s="1"/>
  <c r="H103" i="49" s="1"/>
  <c r="H104" i="49" s="1"/>
  <c r="H105" i="49" s="1"/>
  <c r="H106" i="49" s="1"/>
  <c r="H107" i="49" s="1"/>
  <c r="H110" i="49" s="1"/>
  <c r="H111" i="49" s="1"/>
  <c r="H112" i="49" s="1"/>
  <c r="H113" i="49" s="1"/>
  <c r="H114" i="49" s="1"/>
  <c r="H115" i="49" s="1"/>
  <c r="H116" i="49" s="1"/>
  <c r="H117" i="49" s="1"/>
  <c r="H118" i="49" s="1"/>
  <c r="H119" i="49" s="1"/>
  <c r="H122" i="49" s="1"/>
  <c r="H123" i="49" s="1"/>
  <c r="H124" i="49" s="1"/>
  <c r="H125" i="49" s="1"/>
  <c r="H126" i="49" s="1"/>
  <c r="H127" i="49" s="1"/>
  <c r="H128" i="49" s="1"/>
  <c r="H129" i="49" s="1"/>
  <c r="H130" i="49" s="1"/>
  <c r="H131" i="49" s="1"/>
  <c r="H132" i="49" s="1"/>
  <c r="O17" i="49"/>
  <c r="E13" i="49"/>
  <c r="C14" i="49" s="1"/>
  <c r="B14" i="49" s="1"/>
  <c r="O21" i="49"/>
  <c r="O13" i="49"/>
  <c r="O20" i="49"/>
  <c r="O16" i="49"/>
  <c r="O23" i="49"/>
  <c r="O19" i="49"/>
  <c r="O15" i="49"/>
  <c r="O22" i="49"/>
  <c r="O18" i="49"/>
  <c r="O14" i="49"/>
  <c r="J13" i="49"/>
  <c r="A25" i="49"/>
  <c r="O24" i="49"/>
  <c r="B13" i="49"/>
  <c r="E14" i="49"/>
  <c r="C14" i="48"/>
  <c r="A26" i="49" l="1"/>
  <c r="O25" i="49"/>
  <c r="K13" i="49"/>
  <c r="E15" i="49"/>
  <c r="C15" i="49"/>
  <c r="G6" i="46"/>
  <c r="K6" i="46" s="1"/>
  <c r="G7" i="46" s="1"/>
  <c r="H7" i="46" s="1"/>
  <c r="A27" i="49" l="1"/>
  <c r="O26" i="49"/>
  <c r="E16" i="49"/>
  <c r="C16" i="49"/>
  <c r="B16" i="49" s="1"/>
  <c r="L13" i="49"/>
  <c r="B15" i="49"/>
  <c r="K15" i="46"/>
  <c r="G16" i="46" s="1"/>
  <c r="H16" i="46" s="1"/>
  <c r="A28" i="49" l="1"/>
  <c r="O27" i="49"/>
  <c r="C17" i="49"/>
  <c r="E17" i="49"/>
  <c r="J14" i="49"/>
  <c r="J7" i="46"/>
  <c r="K16" i="46"/>
  <c r="D11" i="5"/>
  <c r="A29" i="49" l="1"/>
  <c r="O28" i="49"/>
  <c r="B17" i="49"/>
  <c r="K14" i="49"/>
  <c r="C18" i="49"/>
  <c r="B18" i="49" s="1"/>
  <c r="E18" i="49"/>
  <c r="G17" i="46"/>
  <c r="H17" i="46" s="1"/>
  <c r="K17" i="46"/>
  <c r="K7" i="46"/>
  <c r="G8" i="46" s="1"/>
  <c r="H8" i="46" s="1"/>
  <c r="I16" i="46"/>
  <c r="A30" i="49" l="1"/>
  <c r="O29" i="49"/>
  <c r="E19" i="49"/>
  <c r="C19" i="49"/>
  <c r="L14" i="49"/>
  <c r="I17" i="46"/>
  <c r="I19" i="46" s="1"/>
  <c r="G18" i="46"/>
  <c r="H18" i="46" s="1"/>
  <c r="I18" i="46" s="1"/>
  <c r="K18" i="46"/>
  <c r="A31" i="49" l="1"/>
  <c r="O30" i="49"/>
  <c r="J15" i="49"/>
  <c r="B19" i="49"/>
  <c r="C20" i="49"/>
  <c r="B20" i="49" s="1"/>
  <c r="E20" i="49"/>
  <c r="H19" i="46"/>
  <c r="J8" i="46"/>
  <c r="A32" i="49" l="1"/>
  <c r="O31" i="49"/>
  <c r="K15" i="49"/>
  <c r="E21" i="49"/>
  <c r="C21" i="49"/>
  <c r="B21" i="49" s="1"/>
  <c r="K8" i="46"/>
  <c r="G9" i="46" s="1"/>
  <c r="H9" i="46" s="1"/>
  <c r="H10" i="46" s="1"/>
  <c r="A33" i="49" l="1"/>
  <c r="O32" i="49"/>
  <c r="L15" i="49"/>
  <c r="E22" i="49"/>
  <c r="C22" i="49"/>
  <c r="B22" i="49" s="1"/>
  <c r="A34" i="49" l="1"/>
  <c r="O33" i="49"/>
  <c r="J16" i="49"/>
  <c r="E23" i="49"/>
  <c r="C23" i="49"/>
  <c r="B23" i="49" s="1"/>
  <c r="J9" i="46"/>
  <c r="J10" i="46" s="1"/>
  <c r="A35" i="49" l="1"/>
  <c r="O34" i="49"/>
  <c r="C24" i="49"/>
  <c r="B24" i="49" s="1"/>
  <c r="E24" i="49"/>
  <c r="F24" i="49" s="1"/>
  <c r="K16" i="49"/>
  <c r="K9" i="46"/>
  <c r="I4" i="5"/>
  <c r="I11" i="5" s="1"/>
  <c r="I12" i="5" s="1"/>
  <c r="I6" i="5"/>
  <c r="H11" i="5"/>
  <c r="H12" i="5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E6" i="5"/>
  <c r="E10" i="5"/>
  <c r="C11" i="5" s="1"/>
  <c r="B11" i="5" s="1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36" i="49" l="1"/>
  <c r="O35" i="49"/>
  <c r="C25" i="49"/>
  <c r="D25" i="49"/>
  <c r="E25" i="49" s="1"/>
  <c r="L16" i="49"/>
  <c r="L10" i="5"/>
  <c r="J11" i="5" s="1"/>
  <c r="D131" i="5"/>
  <c r="E11" i="5"/>
  <c r="K11" i="5"/>
  <c r="L11" i="5" s="1"/>
  <c r="J12" i="5" s="1"/>
  <c r="I13" i="5"/>
  <c r="O36" i="49" l="1"/>
  <c r="A37" i="49"/>
  <c r="C26" i="49"/>
  <c r="J17" i="49"/>
  <c r="K17" i="49" s="1"/>
  <c r="L17" i="49" s="1"/>
  <c r="D26" i="49"/>
  <c r="B25" i="49"/>
  <c r="C12" i="5"/>
  <c r="B12" i="5" s="1"/>
  <c r="E12" i="5"/>
  <c r="I14" i="5"/>
  <c r="K12" i="5"/>
  <c r="A38" i="49" l="1"/>
  <c r="O37" i="49"/>
  <c r="J18" i="49"/>
  <c r="K18" i="49" s="1"/>
  <c r="L18" i="49" s="1"/>
  <c r="D27" i="49"/>
  <c r="B26" i="49"/>
  <c r="E26" i="49"/>
  <c r="C13" i="5"/>
  <c r="B13" i="5" s="1"/>
  <c r="E13" i="5"/>
  <c r="L12" i="5"/>
  <c r="I15" i="5"/>
  <c r="A39" i="49" l="1"/>
  <c r="O38" i="49"/>
  <c r="J19" i="49"/>
  <c r="K19" i="49" s="1"/>
  <c r="L19" i="49" s="1"/>
  <c r="D28" i="49"/>
  <c r="C27" i="49"/>
  <c r="B27" i="49" s="1"/>
  <c r="E27" i="49"/>
  <c r="C14" i="5"/>
  <c r="B14" i="5" s="1"/>
  <c r="E14" i="5"/>
  <c r="I16" i="5"/>
  <c r="J13" i="5"/>
  <c r="A40" i="49" l="1"/>
  <c r="O39" i="49"/>
  <c r="J20" i="49"/>
  <c r="K20" i="49" s="1"/>
  <c r="L20" i="49" s="1"/>
  <c r="E28" i="49"/>
  <c r="C28" i="49"/>
  <c r="B28" i="49" s="1"/>
  <c r="D29" i="49"/>
  <c r="C15" i="5"/>
  <c r="B15" i="5" s="1"/>
  <c r="E15" i="5"/>
  <c r="I17" i="5"/>
  <c r="K13" i="5"/>
  <c r="A41" i="49" l="1"/>
  <c r="O40" i="49"/>
  <c r="J21" i="49"/>
  <c r="K21" i="49" s="1"/>
  <c r="L21" i="49" s="1"/>
  <c r="D30" i="49"/>
  <c r="E29" i="49"/>
  <c r="C29" i="49"/>
  <c r="B29" i="49" s="1"/>
  <c r="C16" i="5"/>
  <c r="B16" i="5" s="1"/>
  <c r="E16" i="5"/>
  <c r="L13" i="5"/>
  <c r="I18" i="5"/>
  <c r="A42" i="49" l="1"/>
  <c r="O41" i="49"/>
  <c r="J22" i="49"/>
  <c r="K22" i="49" s="1"/>
  <c r="L22" i="49" s="1"/>
  <c r="D31" i="49"/>
  <c r="E30" i="49"/>
  <c r="C30" i="49"/>
  <c r="B30" i="49" s="1"/>
  <c r="E17" i="5"/>
  <c r="C17" i="5"/>
  <c r="B17" i="5" s="1"/>
  <c r="I19" i="5"/>
  <c r="J14" i="5"/>
  <c r="A43" i="49" l="1"/>
  <c r="O42" i="49"/>
  <c r="J23" i="49"/>
  <c r="K23" i="49" s="1"/>
  <c r="L23" i="49" s="1"/>
  <c r="D32" i="49"/>
  <c r="E31" i="49"/>
  <c r="C31" i="49"/>
  <c r="B31" i="49" s="1"/>
  <c r="C18" i="5"/>
  <c r="B18" i="5" s="1"/>
  <c r="E18" i="5"/>
  <c r="K14" i="5"/>
  <c r="I20" i="5"/>
  <c r="A44" i="49" l="1"/>
  <c r="O43" i="49"/>
  <c r="C32" i="49"/>
  <c r="B32" i="49" s="1"/>
  <c r="E32" i="49"/>
  <c r="D33" i="49"/>
  <c r="J24" i="49"/>
  <c r="K24" i="49" s="1"/>
  <c r="L24" i="49" s="1"/>
  <c r="M24" i="49" s="1"/>
  <c r="E19" i="5"/>
  <c r="C19" i="5"/>
  <c r="B19" i="5" s="1"/>
  <c r="L14" i="5"/>
  <c r="I21" i="5"/>
  <c r="I25" i="49" l="1"/>
  <c r="I26" i="49" s="1"/>
  <c r="I27" i="49" s="1"/>
  <c r="I28" i="49" s="1"/>
  <c r="I29" i="49" s="1"/>
  <c r="I30" i="49" s="1"/>
  <c r="I31" i="49" s="1"/>
  <c r="I32" i="49" s="1"/>
  <c r="I33" i="49" s="1"/>
  <c r="I34" i="49" s="1"/>
  <c r="I35" i="49" s="1"/>
  <c r="I36" i="49" s="1"/>
  <c r="J25" i="49"/>
  <c r="A45" i="49"/>
  <c r="O44" i="49"/>
  <c r="D34" i="49"/>
  <c r="E33" i="49"/>
  <c r="C33" i="49"/>
  <c r="B33" i="49" s="1"/>
  <c r="C20" i="5"/>
  <c r="B20" i="5" s="1"/>
  <c r="E20" i="5"/>
  <c r="I22" i="5"/>
  <c r="J15" i="5"/>
  <c r="K25" i="49" l="1"/>
  <c r="L25" i="49" s="1"/>
  <c r="J26" i="49" s="1"/>
  <c r="K26" i="49" s="1"/>
  <c r="L26" i="49" s="1"/>
  <c r="A46" i="49"/>
  <c r="O45" i="49"/>
  <c r="D35" i="49"/>
  <c r="C34" i="49"/>
  <c r="B34" i="49" s="1"/>
  <c r="E34" i="49"/>
  <c r="E21" i="5"/>
  <c r="C21" i="5"/>
  <c r="B21" i="5" s="1"/>
  <c r="K15" i="5"/>
  <c r="I23" i="5"/>
  <c r="A47" i="49" l="1"/>
  <c r="O46" i="49"/>
  <c r="J27" i="49"/>
  <c r="K27" i="49" s="1"/>
  <c r="L27" i="49" s="1"/>
  <c r="E35" i="49"/>
  <c r="C35" i="49"/>
  <c r="B35" i="49" s="1"/>
  <c r="D36" i="49"/>
  <c r="C22" i="5"/>
  <c r="B22" i="5" s="1"/>
  <c r="E22" i="5"/>
  <c r="I24" i="5"/>
  <c r="L15" i="5"/>
  <c r="A48" i="49" l="1"/>
  <c r="O47" i="49"/>
  <c r="J28" i="49"/>
  <c r="K28" i="49" s="1"/>
  <c r="L28" i="49" s="1"/>
  <c r="C36" i="49"/>
  <c r="B36" i="49" s="1"/>
  <c r="E36" i="49"/>
  <c r="F36" i="49" s="1"/>
  <c r="E23" i="5"/>
  <c r="C23" i="5"/>
  <c r="B23" i="5" s="1"/>
  <c r="J16" i="5"/>
  <c r="I25" i="5"/>
  <c r="O48" i="49" l="1"/>
  <c r="A49" i="49"/>
  <c r="C37" i="49"/>
  <c r="D37" i="49"/>
  <c r="E37" i="49" s="1"/>
  <c r="J29" i="49"/>
  <c r="K29" i="49" s="1"/>
  <c r="L29" i="49" s="1"/>
  <c r="E24" i="5"/>
  <c r="C24" i="5"/>
  <c r="B24" i="5" s="1"/>
  <c r="K16" i="5"/>
  <c r="L16" i="5" s="1"/>
  <c r="I26" i="5"/>
  <c r="A50" i="49" l="1"/>
  <c r="O49" i="49"/>
  <c r="J30" i="49"/>
  <c r="K30" i="49" s="1"/>
  <c r="L30" i="49" s="1"/>
  <c r="B37" i="49"/>
  <c r="D38" i="49"/>
  <c r="C25" i="5"/>
  <c r="B25" i="5" s="1"/>
  <c r="E25" i="5"/>
  <c r="I27" i="5"/>
  <c r="J17" i="5"/>
  <c r="K17" i="5" s="1"/>
  <c r="L17" i="5" s="1"/>
  <c r="A51" i="49" l="1"/>
  <c r="O50" i="49"/>
  <c r="D39" i="49"/>
  <c r="J31" i="49"/>
  <c r="K31" i="49" s="1"/>
  <c r="L31" i="49" s="1"/>
  <c r="E38" i="49"/>
  <c r="C38" i="49"/>
  <c r="B38" i="49" s="1"/>
  <c r="E26" i="5"/>
  <c r="C26" i="5"/>
  <c r="B26" i="5" s="1"/>
  <c r="J18" i="5"/>
  <c r="K18" i="5" s="1"/>
  <c r="L18" i="5" s="1"/>
  <c r="I28" i="5"/>
  <c r="A52" i="49" l="1"/>
  <c r="O51" i="49"/>
  <c r="J32" i="49"/>
  <c r="K32" i="49" s="1"/>
  <c r="L32" i="49" s="1"/>
  <c r="C39" i="49"/>
  <c r="B39" i="49" s="1"/>
  <c r="E39" i="49"/>
  <c r="D40" i="49"/>
  <c r="E27" i="5"/>
  <c r="C27" i="5"/>
  <c r="B27" i="5" s="1"/>
  <c r="J19" i="5"/>
  <c r="K19" i="5" s="1"/>
  <c r="L19" i="5" s="1"/>
  <c r="I29" i="5"/>
  <c r="A53" i="49" l="1"/>
  <c r="O52" i="49"/>
  <c r="J33" i="49"/>
  <c r="K33" i="49" s="1"/>
  <c r="L33" i="49" s="1"/>
  <c r="D41" i="49"/>
  <c r="E40" i="49"/>
  <c r="C40" i="49"/>
  <c r="B40" i="49" s="1"/>
  <c r="C28" i="5"/>
  <c r="B28" i="5" s="1"/>
  <c r="E28" i="5"/>
  <c r="J20" i="5"/>
  <c r="K20" i="5" s="1"/>
  <c r="L20" i="5" s="1"/>
  <c r="I30" i="5"/>
  <c r="A54" i="49" l="1"/>
  <c r="O53" i="49"/>
  <c r="J34" i="49"/>
  <c r="K34" i="49" s="1"/>
  <c r="L34" i="49" s="1"/>
  <c r="C41" i="49"/>
  <c r="B41" i="49" s="1"/>
  <c r="E41" i="49"/>
  <c r="D42" i="49"/>
  <c r="C29" i="5"/>
  <c r="B29" i="5" s="1"/>
  <c r="E29" i="5"/>
  <c r="J21" i="5"/>
  <c r="K21" i="5" s="1"/>
  <c r="L21" i="5" s="1"/>
  <c r="I31" i="5"/>
  <c r="A55" i="49" l="1"/>
  <c r="O54" i="49"/>
  <c r="J35" i="49"/>
  <c r="K35" i="49" s="1"/>
  <c r="L35" i="49" s="1"/>
  <c r="J36" i="49" s="1"/>
  <c r="K36" i="49" s="1"/>
  <c r="L36" i="49" s="1"/>
  <c r="M36" i="49" s="1"/>
  <c r="I37" i="49" s="1"/>
  <c r="I38" i="49" s="1"/>
  <c r="I39" i="49" s="1"/>
  <c r="I40" i="49" s="1"/>
  <c r="I41" i="49" s="1"/>
  <c r="I42" i="49" s="1"/>
  <c r="I43" i="49" s="1"/>
  <c r="I44" i="49" s="1"/>
  <c r="I45" i="49" s="1"/>
  <c r="I46" i="49" s="1"/>
  <c r="I47" i="49" s="1"/>
  <c r="I48" i="49" s="1"/>
  <c r="E42" i="49"/>
  <c r="C42" i="49"/>
  <c r="B42" i="49" s="1"/>
  <c r="D43" i="49"/>
  <c r="E30" i="5"/>
  <c r="C30" i="5"/>
  <c r="B30" i="5" s="1"/>
  <c r="J22" i="5"/>
  <c r="K22" i="5" s="1"/>
  <c r="L22" i="5" s="1"/>
  <c r="I32" i="5"/>
  <c r="J37" i="49" l="1"/>
  <c r="A56" i="49"/>
  <c r="O55" i="49"/>
  <c r="C43" i="49"/>
  <c r="B43" i="49" s="1"/>
  <c r="E43" i="49"/>
  <c r="D44" i="49"/>
  <c r="C31" i="5"/>
  <c r="B31" i="5" s="1"/>
  <c r="E31" i="5"/>
  <c r="J23" i="5"/>
  <c r="K23" i="5" s="1"/>
  <c r="L23" i="5" s="1"/>
  <c r="I33" i="5"/>
  <c r="K37" i="49" l="1"/>
  <c r="L37" i="49" s="1"/>
  <c r="A57" i="49"/>
  <c r="O56" i="49"/>
  <c r="E44" i="49"/>
  <c r="C44" i="49"/>
  <c r="B44" i="49" s="1"/>
  <c r="D45" i="49"/>
  <c r="E32" i="5"/>
  <c r="C32" i="5"/>
  <c r="B32" i="5" s="1"/>
  <c r="I34" i="5"/>
  <c r="J24" i="5"/>
  <c r="K24" i="5" s="1"/>
  <c r="L24" i="5" s="1"/>
  <c r="A58" i="49" l="1"/>
  <c r="O57" i="49"/>
  <c r="D46" i="49"/>
  <c r="J38" i="49"/>
  <c r="K38" i="49" s="1"/>
  <c r="L38" i="49" s="1"/>
  <c r="C45" i="49"/>
  <c r="B45" i="49" s="1"/>
  <c r="E45" i="49"/>
  <c r="E33" i="5"/>
  <c r="C33" i="5"/>
  <c r="B33" i="5" s="1"/>
  <c r="J25" i="5"/>
  <c r="K25" i="5" s="1"/>
  <c r="L25" i="5" s="1"/>
  <c r="I35" i="5"/>
  <c r="A59" i="49" l="1"/>
  <c r="O58" i="49"/>
  <c r="J39" i="49"/>
  <c r="K39" i="49" s="1"/>
  <c r="L39" i="49" s="1"/>
  <c r="D47" i="49"/>
  <c r="E46" i="49"/>
  <c r="C46" i="49"/>
  <c r="B46" i="49" s="1"/>
  <c r="E34" i="5"/>
  <c r="C34" i="5"/>
  <c r="B34" i="5" s="1"/>
  <c r="J26" i="5"/>
  <c r="K26" i="5" s="1"/>
  <c r="L26" i="5" s="1"/>
  <c r="I36" i="5"/>
  <c r="A60" i="49" l="1"/>
  <c r="O59" i="49"/>
  <c r="J40" i="49"/>
  <c r="K40" i="49" s="1"/>
  <c r="L40" i="49" s="1"/>
  <c r="D48" i="49"/>
  <c r="C47" i="49"/>
  <c r="B47" i="49" s="1"/>
  <c r="E47" i="49"/>
  <c r="E35" i="5"/>
  <c r="C35" i="5"/>
  <c r="B35" i="5" s="1"/>
  <c r="J27" i="5"/>
  <c r="K27" i="5" s="1"/>
  <c r="L27" i="5" s="1"/>
  <c r="I37" i="5"/>
  <c r="A61" i="49" l="1"/>
  <c r="O60" i="49"/>
  <c r="J41" i="49"/>
  <c r="K41" i="49" s="1"/>
  <c r="L41" i="49" s="1"/>
  <c r="E48" i="49"/>
  <c r="F48" i="49" s="1"/>
  <c r="C48" i="49"/>
  <c r="B48" i="49" s="1"/>
  <c r="C36" i="5"/>
  <c r="B36" i="5" s="1"/>
  <c r="E36" i="5"/>
  <c r="J28" i="5"/>
  <c r="K28" i="5" s="1"/>
  <c r="L28" i="5" s="1"/>
  <c r="I38" i="5"/>
  <c r="A62" i="49" l="1"/>
  <c r="O61" i="49"/>
  <c r="D49" i="49"/>
  <c r="E49" i="49" s="1"/>
  <c r="C49" i="49"/>
  <c r="J42" i="49"/>
  <c r="K42" i="49" s="1"/>
  <c r="L42" i="49" s="1"/>
  <c r="C37" i="5"/>
  <c r="B37" i="5" s="1"/>
  <c r="E37" i="5"/>
  <c r="J29" i="5"/>
  <c r="K29" i="5" s="1"/>
  <c r="L29" i="5" s="1"/>
  <c r="I39" i="5"/>
  <c r="A63" i="49" l="1"/>
  <c r="O62" i="49"/>
  <c r="J43" i="49"/>
  <c r="K43" i="49" s="1"/>
  <c r="L43" i="49" s="1"/>
  <c r="D50" i="49"/>
  <c r="B49" i="49"/>
  <c r="C38" i="5"/>
  <c r="B38" i="5" s="1"/>
  <c r="E38" i="5"/>
  <c r="J30" i="5"/>
  <c r="K30" i="5" s="1"/>
  <c r="L30" i="5" s="1"/>
  <c r="I40" i="5"/>
  <c r="A64" i="49" l="1"/>
  <c r="O63" i="49"/>
  <c r="C50" i="49"/>
  <c r="B50" i="49" s="1"/>
  <c r="E50" i="49"/>
  <c r="D51" i="49"/>
  <c r="J44" i="49"/>
  <c r="K44" i="49" s="1"/>
  <c r="L44" i="49" s="1"/>
  <c r="E39" i="5"/>
  <c r="C39" i="5"/>
  <c r="B39" i="5" s="1"/>
  <c r="J31" i="5"/>
  <c r="K31" i="5" s="1"/>
  <c r="L31" i="5" s="1"/>
  <c r="I41" i="5"/>
  <c r="A65" i="49" l="1"/>
  <c r="O64" i="49"/>
  <c r="J45" i="49"/>
  <c r="K45" i="49" s="1"/>
  <c r="L45" i="49" s="1"/>
  <c r="D52" i="49"/>
  <c r="E51" i="49"/>
  <c r="C51" i="49"/>
  <c r="B51" i="49" s="1"/>
  <c r="C40" i="5"/>
  <c r="B40" i="5" s="1"/>
  <c r="E40" i="5"/>
  <c r="J32" i="5"/>
  <c r="K32" i="5" s="1"/>
  <c r="L32" i="5" s="1"/>
  <c r="I42" i="5"/>
  <c r="A66" i="49" l="1"/>
  <c r="O65" i="49"/>
  <c r="D53" i="49"/>
  <c r="J46" i="49"/>
  <c r="K46" i="49" s="1"/>
  <c r="L46" i="49" s="1"/>
  <c r="C52" i="49"/>
  <c r="B52" i="49" s="1"/>
  <c r="E52" i="49"/>
  <c r="C41" i="5"/>
  <c r="B41" i="5" s="1"/>
  <c r="E41" i="5"/>
  <c r="J33" i="5"/>
  <c r="K33" i="5" s="1"/>
  <c r="L33" i="5" s="1"/>
  <c r="I43" i="5"/>
  <c r="A67" i="49" l="1"/>
  <c r="O66" i="49"/>
  <c r="J47" i="49"/>
  <c r="K47" i="49" s="1"/>
  <c r="L47" i="49" s="1"/>
  <c r="J48" i="49" s="1"/>
  <c r="K48" i="49" s="1"/>
  <c r="L48" i="49" s="1"/>
  <c r="M48" i="49" s="1"/>
  <c r="I49" i="49" s="1"/>
  <c r="I50" i="49" s="1"/>
  <c r="I51" i="49" s="1"/>
  <c r="I52" i="49" s="1"/>
  <c r="I53" i="49" s="1"/>
  <c r="I54" i="49" s="1"/>
  <c r="I55" i="49" s="1"/>
  <c r="I56" i="49" s="1"/>
  <c r="I57" i="49" s="1"/>
  <c r="I58" i="49" s="1"/>
  <c r="I59" i="49" s="1"/>
  <c r="I60" i="49" s="1"/>
  <c r="D54" i="49"/>
  <c r="E53" i="49"/>
  <c r="C53" i="49"/>
  <c r="B53" i="49" s="1"/>
  <c r="E42" i="5"/>
  <c r="C42" i="5"/>
  <c r="B42" i="5" s="1"/>
  <c r="J34" i="5"/>
  <c r="K34" i="5" s="1"/>
  <c r="L34" i="5" s="1"/>
  <c r="I44" i="5"/>
  <c r="J49" i="49" l="1"/>
  <c r="A68" i="49"/>
  <c r="O67" i="49"/>
  <c r="D55" i="49"/>
  <c r="C54" i="49"/>
  <c r="B54" i="49" s="1"/>
  <c r="E54" i="49"/>
  <c r="C43" i="5"/>
  <c r="B43" i="5" s="1"/>
  <c r="E43" i="5"/>
  <c r="J35" i="5"/>
  <c r="K35" i="5" s="1"/>
  <c r="L35" i="5" s="1"/>
  <c r="I45" i="5"/>
  <c r="K49" i="49" l="1"/>
  <c r="L49" i="49" s="1"/>
  <c r="A69" i="49"/>
  <c r="O68" i="49"/>
  <c r="E55" i="49"/>
  <c r="C55" i="49"/>
  <c r="B55" i="49" s="1"/>
  <c r="D56" i="49"/>
  <c r="E44" i="5"/>
  <c r="C44" i="5"/>
  <c r="B44" i="5" s="1"/>
  <c r="J36" i="5"/>
  <c r="K36" i="5" s="1"/>
  <c r="L36" i="5" s="1"/>
  <c r="I46" i="5"/>
  <c r="A70" i="49" l="1"/>
  <c r="O69" i="49"/>
  <c r="J50" i="49"/>
  <c r="K50" i="49" s="1"/>
  <c r="L50" i="49" s="1"/>
  <c r="D57" i="49"/>
  <c r="C56" i="49"/>
  <c r="B56" i="49" s="1"/>
  <c r="E56" i="49"/>
  <c r="E45" i="5"/>
  <c r="C45" i="5"/>
  <c r="B45" i="5" s="1"/>
  <c r="J37" i="5"/>
  <c r="K37" i="5" s="1"/>
  <c r="L37" i="5" s="1"/>
  <c r="I47" i="5"/>
  <c r="A71" i="49" l="1"/>
  <c r="O70" i="49"/>
  <c r="J51" i="49"/>
  <c r="K51" i="49" s="1"/>
  <c r="L51" i="49" s="1"/>
  <c r="D58" i="49"/>
  <c r="E57" i="49"/>
  <c r="C57" i="49"/>
  <c r="B57" i="49" s="1"/>
  <c r="E46" i="5"/>
  <c r="C46" i="5"/>
  <c r="B46" i="5" s="1"/>
  <c r="J38" i="5"/>
  <c r="K38" i="5" s="1"/>
  <c r="L38" i="5" s="1"/>
  <c r="I48" i="5"/>
  <c r="A72" i="49" l="1"/>
  <c r="O71" i="49"/>
  <c r="J52" i="49"/>
  <c r="K52" i="49" s="1"/>
  <c r="L52" i="49" s="1"/>
  <c r="D59" i="49"/>
  <c r="C58" i="49"/>
  <c r="B58" i="49" s="1"/>
  <c r="E58" i="49"/>
  <c r="C47" i="5"/>
  <c r="B47" i="5" s="1"/>
  <c r="E47" i="5"/>
  <c r="I49" i="5"/>
  <c r="J39" i="5"/>
  <c r="K39" i="5" s="1"/>
  <c r="L39" i="5" s="1"/>
  <c r="A73" i="49" l="1"/>
  <c r="O72" i="49"/>
  <c r="J53" i="49"/>
  <c r="K53" i="49" s="1"/>
  <c r="L53" i="49" s="1"/>
  <c r="E59" i="49"/>
  <c r="C59" i="49"/>
  <c r="B59" i="49" s="1"/>
  <c r="D60" i="49"/>
  <c r="C48" i="5"/>
  <c r="B48" i="5" s="1"/>
  <c r="E48" i="5"/>
  <c r="J40" i="5"/>
  <c r="K40" i="5" s="1"/>
  <c r="L40" i="5" s="1"/>
  <c r="I50" i="5"/>
  <c r="A74" i="49" l="1"/>
  <c r="O73" i="49"/>
  <c r="J54" i="49"/>
  <c r="K54" i="49" s="1"/>
  <c r="L54" i="49" s="1"/>
  <c r="C60" i="49"/>
  <c r="B60" i="49" s="1"/>
  <c r="E60" i="49"/>
  <c r="F60" i="49" s="1"/>
  <c r="C49" i="5"/>
  <c r="B49" i="5" s="1"/>
  <c r="E49" i="5"/>
  <c r="J41" i="5"/>
  <c r="K41" i="5" s="1"/>
  <c r="L41" i="5" s="1"/>
  <c r="I51" i="5"/>
  <c r="A75" i="49" l="1"/>
  <c r="O74" i="49"/>
  <c r="D61" i="49"/>
  <c r="E61" i="49" s="1"/>
  <c r="C61" i="49"/>
  <c r="J55" i="49"/>
  <c r="K55" i="49" s="1"/>
  <c r="L55" i="49" s="1"/>
  <c r="E50" i="5"/>
  <c r="C50" i="5"/>
  <c r="B50" i="5" s="1"/>
  <c r="J42" i="5"/>
  <c r="K42" i="5" s="1"/>
  <c r="L42" i="5" s="1"/>
  <c r="I52" i="5"/>
  <c r="B61" i="49" l="1"/>
  <c r="D62" i="49"/>
  <c r="E62" i="49" s="1"/>
  <c r="A76" i="49"/>
  <c r="O75" i="49"/>
  <c r="J56" i="49"/>
  <c r="K56" i="49" s="1"/>
  <c r="L56" i="49" s="1"/>
  <c r="C62" i="49"/>
  <c r="C51" i="5"/>
  <c r="B51" i="5" s="1"/>
  <c r="E51" i="5"/>
  <c r="J43" i="5"/>
  <c r="K43" i="5" s="1"/>
  <c r="L43" i="5" s="1"/>
  <c r="I53" i="5"/>
  <c r="D63" i="49" l="1"/>
  <c r="B62" i="49"/>
  <c r="A77" i="49"/>
  <c r="O76" i="49"/>
  <c r="J57" i="49"/>
  <c r="K57" i="49" s="1"/>
  <c r="L57" i="49" s="1"/>
  <c r="E63" i="49"/>
  <c r="C63" i="49"/>
  <c r="B63" i="49" s="1"/>
  <c r="D64" i="49"/>
  <c r="E52" i="5"/>
  <c r="C52" i="5"/>
  <c r="B52" i="5" s="1"/>
  <c r="J44" i="5"/>
  <c r="K44" i="5" s="1"/>
  <c r="L44" i="5" s="1"/>
  <c r="I54" i="5"/>
  <c r="A78" i="49" l="1"/>
  <c r="O77" i="49"/>
  <c r="J58" i="49"/>
  <c r="K58" i="49" s="1"/>
  <c r="L58" i="49" s="1"/>
  <c r="C64" i="49"/>
  <c r="B64" i="49" s="1"/>
  <c r="E64" i="49"/>
  <c r="D65" i="49"/>
  <c r="C53" i="5"/>
  <c r="B53" i="5" s="1"/>
  <c r="E53" i="5"/>
  <c r="J45" i="5"/>
  <c r="K45" i="5" s="1"/>
  <c r="L45" i="5" s="1"/>
  <c r="I55" i="5"/>
  <c r="A79" i="49" l="1"/>
  <c r="O78" i="49"/>
  <c r="E65" i="49"/>
  <c r="C65" i="49"/>
  <c r="B65" i="49" s="1"/>
  <c r="J59" i="49"/>
  <c r="K59" i="49" s="1"/>
  <c r="L59" i="49" s="1"/>
  <c r="J60" i="49" s="1"/>
  <c r="K60" i="49" s="1"/>
  <c r="L60" i="49" s="1"/>
  <c r="M60" i="49" s="1"/>
  <c r="I61" i="49" s="1"/>
  <c r="I62" i="49" s="1"/>
  <c r="I63" i="49" s="1"/>
  <c r="I64" i="49" s="1"/>
  <c r="I65" i="49" s="1"/>
  <c r="I66" i="49" s="1"/>
  <c r="I67" i="49" s="1"/>
  <c r="I68" i="49" s="1"/>
  <c r="I69" i="49" s="1"/>
  <c r="I70" i="49" s="1"/>
  <c r="I71" i="49" s="1"/>
  <c r="I72" i="49" s="1"/>
  <c r="D66" i="49"/>
  <c r="C54" i="5"/>
  <c r="B54" i="5" s="1"/>
  <c r="E54" i="5"/>
  <c r="J46" i="5"/>
  <c r="K46" i="5" s="1"/>
  <c r="L46" i="5" s="1"/>
  <c r="I56" i="5"/>
  <c r="J61" i="49" l="1"/>
  <c r="A80" i="49"/>
  <c r="O79" i="49"/>
  <c r="D67" i="49"/>
  <c r="C66" i="49"/>
  <c r="B66" i="49" s="1"/>
  <c r="E66" i="49"/>
  <c r="E55" i="5"/>
  <c r="C55" i="5"/>
  <c r="B55" i="5" s="1"/>
  <c r="J47" i="5"/>
  <c r="K47" i="5" s="1"/>
  <c r="L47" i="5" s="1"/>
  <c r="I57" i="5"/>
  <c r="K61" i="49" l="1"/>
  <c r="L61" i="49" s="1"/>
  <c r="A81" i="49"/>
  <c r="O80" i="49"/>
  <c r="D68" i="49"/>
  <c r="E67" i="49"/>
  <c r="C67" i="49"/>
  <c r="B67" i="49" s="1"/>
  <c r="C56" i="5"/>
  <c r="B56" i="5" s="1"/>
  <c r="E56" i="5"/>
  <c r="I58" i="5"/>
  <c r="J48" i="5"/>
  <c r="K48" i="5" s="1"/>
  <c r="L48" i="5" s="1"/>
  <c r="A82" i="49" l="1"/>
  <c r="O81" i="49"/>
  <c r="J62" i="49"/>
  <c r="K62" i="49" s="1"/>
  <c r="L62" i="49" s="1"/>
  <c r="C68" i="49"/>
  <c r="B68" i="49" s="1"/>
  <c r="E68" i="49"/>
  <c r="D69" i="49"/>
  <c r="E57" i="5"/>
  <c r="C57" i="5"/>
  <c r="B57" i="5" s="1"/>
  <c r="J49" i="5"/>
  <c r="K49" i="5" s="1"/>
  <c r="L49" i="5" s="1"/>
  <c r="I59" i="5"/>
  <c r="A83" i="49" l="1"/>
  <c r="O82" i="49"/>
  <c r="E69" i="49"/>
  <c r="C69" i="49"/>
  <c r="B69" i="49" s="1"/>
  <c r="J63" i="49"/>
  <c r="K63" i="49" s="1"/>
  <c r="L63" i="49" s="1"/>
  <c r="D70" i="49"/>
  <c r="E58" i="5"/>
  <c r="C58" i="5"/>
  <c r="B58" i="5" s="1"/>
  <c r="J50" i="5"/>
  <c r="K50" i="5" s="1"/>
  <c r="L50" i="5" s="1"/>
  <c r="I60" i="5"/>
  <c r="A84" i="49" l="1"/>
  <c r="O83" i="49"/>
  <c r="J64" i="49"/>
  <c r="K64" i="49" s="1"/>
  <c r="L64" i="49" s="1"/>
  <c r="D71" i="49"/>
  <c r="C70" i="49"/>
  <c r="B70" i="49" s="1"/>
  <c r="E70" i="49"/>
  <c r="C59" i="5"/>
  <c r="B59" i="5" s="1"/>
  <c r="E59" i="5"/>
  <c r="J51" i="5"/>
  <c r="K51" i="5" s="1"/>
  <c r="L51" i="5" s="1"/>
  <c r="I61" i="5"/>
  <c r="A85" i="49" l="1"/>
  <c r="O84" i="49"/>
  <c r="E71" i="49"/>
  <c r="C71" i="49"/>
  <c r="B71" i="49" s="1"/>
  <c r="D72" i="49"/>
  <c r="J65" i="49"/>
  <c r="K65" i="49" s="1"/>
  <c r="L65" i="49" s="1"/>
  <c r="E60" i="5"/>
  <c r="C60" i="5"/>
  <c r="B60" i="5" s="1"/>
  <c r="J52" i="5"/>
  <c r="K52" i="5" s="1"/>
  <c r="L52" i="5" s="1"/>
  <c r="I62" i="5"/>
  <c r="A86" i="49" l="1"/>
  <c r="O85" i="49"/>
  <c r="J66" i="49"/>
  <c r="K66" i="49" s="1"/>
  <c r="L66" i="49" s="1"/>
  <c r="C72" i="49"/>
  <c r="B72" i="49" s="1"/>
  <c r="E72" i="49"/>
  <c r="F72" i="49" s="1"/>
  <c r="C61" i="5"/>
  <c r="B61" i="5" s="1"/>
  <c r="E61" i="5"/>
  <c r="J53" i="5"/>
  <c r="K53" i="5" s="1"/>
  <c r="L53" i="5" s="1"/>
  <c r="I63" i="5"/>
  <c r="A87" i="49" l="1"/>
  <c r="O86" i="49"/>
  <c r="D73" i="49"/>
  <c r="E73" i="49" s="1"/>
  <c r="C73" i="49"/>
  <c r="J67" i="49"/>
  <c r="K67" i="49" s="1"/>
  <c r="L67" i="49" s="1"/>
  <c r="C62" i="5"/>
  <c r="B62" i="5" s="1"/>
  <c r="E62" i="5"/>
  <c r="J54" i="5"/>
  <c r="K54" i="5" s="1"/>
  <c r="L54" i="5" s="1"/>
  <c r="I64" i="5"/>
  <c r="D74" i="49" l="1"/>
  <c r="E74" i="49" s="1"/>
  <c r="B73" i="49"/>
  <c r="A88" i="49"/>
  <c r="O87" i="49"/>
  <c r="J68" i="49"/>
  <c r="K68" i="49" s="1"/>
  <c r="L68" i="49" s="1"/>
  <c r="D75" i="49"/>
  <c r="C74" i="49"/>
  <c r="E63" i="5"/>
  <c r="C63" i="5"/>
  <c r="B63" i="5" s="1"/>
  <c r="J55" i="5"/>
  <c r="K55" i="5" s="1"/>
  <c r="L55" i="5" s="1"/>
  <c r="I65" i="5"/>
  <c r="B74" i="49" l="1"/>
  <c r="A89" i="49"/>
  <c r="O88" i="49"/>
  <c r="D76" i="49"/>
  <c r="J69" i="49"/>
  <c r="K69" i="49" s="1"/>
  <c r="L69" i="49" s="1"/>
  <c r="E75" i="49"/>
  <c r="C75" i="49"/>
  <c r="B75" i="49" s="1"/>
  <c r="E64" i="5"/>
  <c r="C64" i="5"/>
  <c r="B64" i="5" s="1"/>
  <c r="J56" i="5"/>
  <c r="K56" i="5" s="1"/>
  <c r="L56" i="5" s="1"/>
  <c r="I66" i="5"/>
  <c r="A90" i="49" l="1"/>
  <c r="O89" i="49"/>
  <c r="J70" i="49"/>
  <c r="K70" i="49" s="1"/>
  <c r="L70" i="49" s="1"/>
  <c r="C76" i="49"/>
  <c r="B76" i="49" s="1"/>
  <c r="E76" i="49"/>
  <c r="D77" i="49"/>
  <c r="C65" i="5"/>
  <c r="B65" i="5" s="1"/>
  <c r="E65" i="5"/>
  <c r="J57" i="5"/>
  <c r="K57" i="5" s="1"/>
  <c r="L57" i="5" s="1"/>
  <c r="I67" i="5"/>
  <c r="A91" i="49" l="1"/>
  <c r="O90" i="49"/>
  <c r="J71" i="49"/>
  <c r="K71" i="49" s="1"/>
  <c r="L71" i="49" s="1"/>
  <c r="J72" i="49" s="1"/>
  <c r="K72" i="49" s="1"/>
  <c r="L72" i="49" s="1"/>
  <c r="M72" i="49" s="1"/>
  <c r="E77" i="49"/>
  <c r="C77" i="49"/>
  <c r="B77" i="49" s="1"/>
  <c r="D78" i="49"/>
  <c r="C66" i="5"/>
  <c r="B66" i="5" s="1"/>
  <c r="E66" i="5"/>
  <c r="J58" i="5"/>
  <c r="K58" i="5" s="1"/>
  <c r="L58" i="5" s="1"/>
  <c r="I68" i="5"/>
  <c r="J73" i="49" l="1"/>
  <c r="I73" i="49"/>
  <c r="I74" i="49" s="1"/>
  <c r="I75" i="49" s="1"/>
  <c r="I76" i="49" s="1"/>
  <c r="I77" i="49" s="1"/>
  <c r="I78" i="49" s="1"/>
  <c r="I79" i="49" s="1"/>
  <c r="I80" i="49" s="1"/>
  <c r="I81" i="49" s="1"/>
  <c r="I82" i="49" s="1"/>
  <c r="I83" i="49" s="1"/>
  <c r="I84" i="49" s="1"/>
  <c r="A92" i="49"/>
  <c r="O91" i="49"/>
  <c r="C78" i="49"/>
  <c r="B78" i="49" s="1"/>
  <c r="E78" i="49"/>
  <c r="D79" i="49"/>
  <c r="E67" i="5"/>
  <c r="C67" i="5"/>
  <c r="B67" i="5" s="1"/>
  <c r="J59" i="5"/>
  <c r="K59" i="5" s="1"/>
  <c r="L59" i="5" s="1"/>
  <c r="I69" i="5"/>
  <c r="K73" i="49" l="1"/>
  <c r="L73" i="49" s="1"/>
  <c r="A93" i="49"/>
  <c r="O92" i="49"/>
  <c r="D80" i="49"/>
  <c r="E79" i="49"/>
  <c r="C79" i="49"/>
  <c r="B79" i="49" s="1"/>
  <c r="E68" i="5"/>
  <c r="C68" i="5"/>
  <c r="B68" i="5" s="1"/>
  <c r="J60" i="5"/>
  <c r="K60" i="5" s="1"/>
  <c r="L60" i="5" s="1"/>
  <c r="I70" i="5"/>
  <c r="A94" i="49" l="1"/>
  <c r="O93" i="49"/>
  <c r="C80" i="49"/>
  <c r="B80" i="49" s="1"/>
  <c r="E80" i="49"/>
  <c r="D81" i="49"/>
  <c r="J74" i="49"/>
  <c r="K74" i="49" s="1"/>
  <c r="L74" i="49" s="1"/>
  <c r="C69" i="5"/>
  <c r="B69" i="5" s="1"/>
  <c r="E69" i="5"/>
  <c r="I71" i="5"/>
  <c r="J61" i="5"/>
  <c r="K61" i="5" s="1"/>
  <c r="L61" i="5" s="1"/>
  <c r="A95" i="49" l="1"/>
  <c r="O94" i="49"/>
  <c r="J75" i="49"/>
  <c r="K75" i="49" s="1"/>
  <c r="L75" i="49" s="1"/>
  <c r="D82" i="49"/>
  <c r="E81" i="49"/>
  <c r="C81" i="49"/>
  <c r="B81" i="49" s="1"/>
  <c r="C70" i="5"/>
  <c r="B70" i="5" s="1"/>
  <c r="E70" i="5"/>
  <c r="J62" i="5"/>
  <c r="K62" i="5" s="1"/>
  <c r="L62" i="5" s="1"/>
  <c r="I72" i="5"/>
  <c r="A96" i="49" l="1"/>
  <c r="O95" i="49"/>
  <c r="J76" i="49"/>
  <c r="K76" i="49" s="1"/>
  <c r="L76" i="49" s="1"/>
  <c r="E82" i="49"/>
  <c r="C82" i="49"/>
  <c r="B82" i="49" s="1"/>
  <c r="D83" i="49"/>
  <c r="E71" i="5"/>
  <c r="C71" i="5"/>
  <c r="B71" i="5" s="1"/>
  <c r="J63" i="5"/>
  <c r="K63" i="5" s="1"/>
  <c r="L63" i="5" s="1"/>
  <c r="I73" i="5"/>
  <c r="A97" i="49" l="1"/>
  <c r="O96" i="49"/>
  <c r="J77" i="49"/>
  <c r="K77" i="49" s="1"/>
  <c r="L77" i="49" s="1"/>
  <c r="C83" i="49"/>
  <c r="B83" i="49" s="1"/>
  <c r="E83" i="49"/>
  <c r="D84" i="49"/>
  <c r="C72" i="5"/>
  <c r="B72" i="5" s="1"/>
  <c r="E72" i="5"/>
  <c r="J64" i="5"/>
  <c r="K64" i="5" s="1"/>
  <c r="L64" i="5" s="1"/>
  <c r="I74" i="5"/>
  <c r="A98" i="49" l="1"/>
  <c r="O97" i="49"/>
  <c r="J78" i="49"/>
  <c r="K78" i="49" s="1"/>
  <c r="L78" i="49" s="1"/>
  <c r="E84" i="49"/>
  <c r="F84" i="49" s="1"/>
  <c r="C84" i="49"/>
  <c r="B84" i="49" s="1"/>
  <c r="C73" i="5"/>
  <c r="B73" i="5" s="1"/>
  <c r="E73" i="5"/>
  <c r="J65" i="5"/>
  <c r="K65" i="5" s="1"/>
  <c r="L65" i="5" s="1"/>
  <c r="I75" i="5"/>
  <c r="A99" i="49" l="1"/>
  <c r="O98" i="49"/>
  <c r="D85" i="49"/>
  <c r="E85" i="49" s="1"/>
  <c r="C85" i="49"/>
  <c r="B85" i="49" s="1"/>
  <c r="J79" i="49"/>
  <c r="K79" i="49" s="1"/>
  <c r="L79" i="49" s="1"/>
  <c r="C74" i="5"/>
  <c r="B74" i="5" s="1"/>
  <c r="E74" i="5"/>
  <c r="J66" i="5"/>
  <c r="K66" i="5" s="1"/>
  <c r="L66" i="5" s="1"/>
  <c r="I76" i="5"/>
  <c r="D86" i="49" l="1"/>
  <c r="E86" i="49" s="1"/>
  <c r="A100" i="49"/>
  <c r="O99" i="49"/>
  <c r="J80" i="49"/>
  <c r="K80" i="49" s="1"/>
  <c r="L80" i="49" s="1"/>
  <c r="D87" i="49"/>
  <c r="C86" i="49"/>
  <c r="C75" i="5"/>
  <c r="B75" i="5" s="1"/>
  <c r="E75" i="5"/>
  <c r="J67" i="5"/>
  <c r="K67" i="5" s="1"/>
  <c r="L67" i="5" s="1"/>
  <c r="I77" i="5"/>
  <c r="B86" i="49" l="1"/>
  <c r="A101" i="49"/>
  <c r="O100" i="49"/>
  <c r="D88" i="49"/>
  <c r="J81" i="49"/>
  <c r="K81" i="49" s="1"/>
  <c r="L81" i="49" s="1"/>
  <c r="E87" i="49"/>
  <c r="C87" i="49"/>
  <c r="B87" i="49" s="1"/>
  <c r="E76" i="5"/>
  <c r="C76" i="5"/>
  <c r="B76" i="5" s="1"/>
  <c r="J68" i="5"/>
  <c r="K68" i="5" s="1"/>
  <c r="L68" i="5" s="1"/>
  <c r="I78" i="5"/>
  <c r="A102" i="49" l="1"/>
  <c r="O101" i="49"/>
  <c r="J82" i="49"/>
  <c r="K82" i="49" s="1"/>
  <c r="L82" i="49" s="1"/>
  <c r="E88" i="49"/>
  <c r="C88" i="49"/>
  <c r="B88" i="49" s="1"/>
  <c r="D89" i="49"/>
  <c r="C77" i="5"/>
  <c r="B77" i="5" s="1"/>
  <c r="E77" i="5"/>
  <c r="J69" i="5"/>
  <c r="K69" i="5" s="1"/>
  <c r="L69" i="5" s="1"/>
  <c r="I79" i="5"/>
  <c r="A103" i="49" l="1"/>
  <c r="O102" i="49"/>
  <c r="D90" i="49"/>
  <c r="J83" i="49"/>
  <c r="K83" i="49" s="1"/>
  <c r="L83" i="49" s="1"/>
  <c r="J84" i="49" s="1"/>
  <c r="K84" i="49" s="1"/>
  <c r="L84" i="49" s="1"/>
  <c r="M84" i="49" s="1"/>
  <c r="E89" i="49"/>
  <c r="C89" i="49"/>
  <c r="B89" i="49" s="1"/>
  <c r="E78" i="5"/>
  <c r="C78" i="5"/>
  <c r="B78" i="5" s="1"/>
  <c r="J70" i="5"/>
  <c r="K70" i="5" s="1"/>
  <c r="L70" i="5" s="1"/>
  <c r="I80" i="5"/>
  <c r="J85" i="49" l="1"/>
  <c r="I85" i="49"/>
  <c r="I86" i="49" s="1"/>
  <c r="I87" i="49" s="1"/>
  <c r="I88" i="49" s="1"/>
  <c r="I89" i="49" s="1"/>
  <c r="I90" i="49" s="1"/>
  <c r="I91" i="49" s="1"/>
  <c r="I92" i="49" s="1"/>
  <c r="I93" i="49" s="1"/>
  <c r="I94" i="49" s="1"/>
  <c r="I95" i="49" s="1"/>
  <c r="I96" i="49" s="1"/>
  <c r="A104" i="49"/>
  <c r="O103" i="49"/>
  <c r="C90" i="49"/>
  <c r="B90" i="49" s="1"/>
  <c r="E90" i="49"/>
  <c r="D91" i="49"/>
  <c r="C79" i="5"/>
  <c r="B79" i="5" s="1"/>
  <c r="E79" i="5"/>
  <c r="J71" i="5"/>
  <c r="K71" i="5" s="1"/>
  <c r="L71" i="5" s="1"/>
  <c r="I81" i="5"/>
  <c r="K85" i="49" l="1"/>
  <c r="L85" i="49" s="1"/>
  <c r="A105" i="49"/>
  <c r="O104" i="49"/>
  <c r="E91" i="49"/>
  <c r="C91" i="49"/>
  <c r="B91" i="49" s="1"/>
  <c r="D92" i="49"/>
  <c r="E80" i="5"/>
  <c r="C80" i="5"/>
  <c r="B80" i="5" s="1"/>
  <c r="J72" i="5"/>
  <c r="K72" i="5" s="1"/>
  <c r="L72" i="5" s="1"/>
  <c r="I82" i="5"/>
  <c r="A106" i="49" l="1"/>
  <c r="O105" i="49"/>
  <c r="J86" i="49"/>
  <c r="K86" i="49" s="1"/>
  <c r="L86" i="49" s="1"/>
  <c r="D93" i="49"/>
  <c r="E92" i="49"/>
  <c r="C92" i="49"/>
  <c r="B92" i="49" s="1"/>
  <c r="E81" i="5"/>
  <c r="C81" i="5"/>
  <c r="B81" i="5" s="1"/>
  <c r="J73" i="5"/>
  <c r="K73" i="5" s="1"/>
  <c r="L73" i="5" s="1"/>
  <c r="I83" i="5"/>
  <c r="A107" i="49" l="1"/>
  <c r="O106" i="49"/>
  <c r="J87" i="49"/>
  <c r="K87" i="49" s="1"/>
  <c r="L87" i="49" s="1"/>
  <c r="E93" i="49"/>
  <c r="C93" i="49"/>
  <c r="B93" i="49" s="1"/>
  <c r="D94" i="49"/>
  <c r="E82" i="5"/>
  <c r="C82" i="5"/>
  <c r="B82" i="5" s="1"/>
  <c r="J74" i="5"/>
  <c r="K74" i="5" s="1"/>
  <c r="L74" i="5" s="1"/>
  <c r="I84" i="5"/>
  <c r="A108" i="49" l="1"/>
  <c r="O107" i="49"/>
  <c r="J88" i="49"/>
  <c r="K88" i="49" s="1"/>
  <c r="L88" i="49" s="1"/>
  <c r="D95" i="49"/>
  <c r="C94" i="49"/>
  <c r="B94" i="49" s="1"/>
  <c r="E94" i="49"/>
  <c r="E83" i="5"/>
  <c r="C83" i="5"/>
  <c r="B83" i="5" s="1"/>
  <c r="J75" i="5"/>
  <c r="K75" i="5" s="1"/>
  <c r="L75" i="5" s="1"/>
  <c r="I85" i="5"/>
  <c r="A109" i="49" l="1"/>
  <c r="O108" i="49"/>
  <c r="J89" i="49"/>
  <c r="K89" i="49" s="1"/>
  <c r="L89" i="49" s="1"/>
  <c r="E95" i="49"/>
  <c r="C95" i="49"/>
  <c r="B95" i="49" s="1"/>
  <c r="D96" i="49"/>
  <c r="C84" i="5"/>
  <c r="B84" i="5" s="1"/>
  <c r="E84" i="5"/>
  <c r="I86" i="5"/>
  <c r="J76" i="5"/>
  <c r="K76" i="5" s="1"/>
  <c r="L76" i="5" s="1"/>
  <c r="A110" i="49" l="1"/>
  <c r="O109" i="49"/>
  <c r="J90" i="49"/>
  <c r="K90" i="49" s="1"/>
  <c r="L90" i="49" s="1"/>
  <c r="E96" i="49"/>
  <c r="F96" i="49" s="1"/>
  <c r="C96" i="49"/>
  <c r="B96" i="49" s="1"/>
  <c r="E85" i="5"/>
  <c r="C85" i="5"/>
  <c r="B85" i="5" s="1"/>
  <c r="J77" i="5"/>
  <c r="K77" i="5" s="1"/>
  <c r="L77" i="5" s="1"/>
  <c r="I87" i="5"/>
  <c r="A111" i="49" l="1"/>
  <c r="O110" i="49"/>
  <c r="D97" i="49"/>
  <c r="E97" i="49" s="1"/>
  <c r="C97" i="49"/>
  <c r="B97" i="49" s="1"/>
  <c r="J91" i="49"/>
  <c r="K91" i="49" s="1"/>
  <c r="L91" i="49" s="1"/>
  <c r="E86" i="5"/>
  <c r="C86" i="5"/>
  <c r="B86" i="5" s="1"/>
  <c r="J78" i="5"/>
  <c r="K78" i="5" s="1"/>
  <c r="L78" i="5" s="1"/>
  <c r="I88" i="5"/>
  <c r="D98" i="49" l="1"/>
  <c r="D99" i="49" s="1"/>
  <c r="A112" i="49"/>
  <c r="O111" i="49"/>
  <c r="J92" i="49"/>
  <c r="K92" i="49" s="1"/>
  <c r="L92" i="49" s="1"/>
  <c r="C98" i="49"/>
  <c r="B98" i="49" s="1"/>
  <c r="E98" i="49"/>
  <c r="E87" i="5"/>
  <c r="C87" i="5"/>
  <c r="B87" i="5" s="1"/>
  <c r="J79" i="5"/>
  <c r="K79" i="5" s="1"/>
  <c r="L79" i="5" s="1"/>
  <c r="I89" i="5"/>
  <c r="A113" i="49" l="1"/>
  <c r="O112" i="49"/>
  <c r="J93" i="49"/>
  <c r="K93" i="49" s="1"/>
  <c r="L93" i="49" s="1"/>
  <c r="D100" i="49"/>
  <c r="C99" i="49"/>
  <c r="B99" i="49" s="1"/>
  <c r="E99" i="49"/>
  <c r="C88" i="5"/>
  <c r="B88" i="5" s="1"/>
  <c r="E88" i="5"/>
  <c r="J80" i="5"/>
  <c r="K80" i="5" s="1"/>
  <c r="L80" i="5" s="1"/>
  <c r="I90" i="5"/>
  <c r="A114" i="49" l="1"/>
  <c r="O113" i="49"/>
  <c r="J94" i="49"/>
  <c r="K94" i="49" s="1"/>
  <c r="L94" i="49" s="1"/>
  <c r="D101" i="49"/>
  <c r="E100" i="49"/>
  <c r="C100" i="49"/>
  <c r="B100" i="49" s="1"/>
  <c r="C89" i="5"/>
  <c r="B89" i="5" s="1"/>
  <c r="E89" i="5"/>
  <c r="J81" i="5"/>
  <c r="K81" i="5" s="1"/>
  <c r="L81" i="5" s="1"/>
  <c r="I91" i="5"/>
  <c r="A115" i="49" l="1"/>
  <c r="O114" i="49"/>
  <c r="J95" i="49"/>
  <c r="K95" i="49" s="1"/>
  <c r="L95" i="49" s="1"/>
  <c r="J96" i="49" s="1"/>
  <c r="K96" i="49" s="1"/>
  <c r="L96" i="49" s="1"/>
  <c r="M96" i="49" s="1"/>
  <c r="D102" i="49"/>
  <c r="C101" i="49"/>
  <c r="B101" i="49" s="1"/>
  <c r="E101" i="49"/>
  <c r="E90" i="5"/>
  <c r="C90" i="5"/>
  <c r="B90" i="5" s="1"/>
  <c r="J82" i="5"/>
  <c r="K82" i="5" s="1"/>
  <c r="L82" i="5" s="1"/>
  <c r="I92" i="5"/>
  <c r="J97" i="49" l="1"/>
  <c r="I97" i="49"/>
  <c r="I98" i="49" s="1"/>
  <c r="I99" i="49" s="1"/>
  <c r="I100" i="49" s="1"/>
  <c r="I101" i="49" s="1"/>
  <c r="I102" i="49" s="1"/>
  <c r="I103" i="49" s="1"/>
  <c r="I104" i="49" s="1"/>
  <c r="I105" i="49" s="1"/>
  <c r="I106" i="49" s="1"/>
  <c r="I107" i="49" s="1"/>
  <c r="I108" i="49" s="1"/>
  <c r="A116" i="49"/>
  <c r="O115" i="49"/>
  <c r="D103" i="49"/>
  <c r="E102" i="49"/>
  <c r="C102" i="49"/>
  <c r="B102" i="49" s="1"/>
  <c r="C91" i="5"/>
  <c r="B91" i="5" s="1"/>
  <c r="E91" i="5"/>
  <c r="J83" i="5"/>
  <c r="K83" i="5" s="1"/>
  <c r="L83" i="5" s="1"/>
  <c r="I93" i="5"/>
  <c r="K97" i="49" l="1"/>
  <c r="L97" i="49" s="1"/>
  <c r="A117" i="49"/>
  <c r="O116" i="49"/>
  <c r="C103" i="49"/>
  <c r="B103" i="49" s="1"/>
  <c r="E103" i="49"/>
  <c r="D104" i="49"/>
  <c r="E92" i="5"/>
  <c r="C92" i="5"/>
  <c r="B92" i="5" s="1"/>
  <c r="I94" i="5"/>
  <c r="J84" i="5"/>
  <c r="K84" i="5" s="1"/>
  <c r="L84" i="5" s="1"/>
  <c r="A118" i="49" l="1"/>
  <c r="O117" i="49"/>
  <c r="J98" i="49"/>
  <c r="K98" i="49" s="1"/>
  <c r="L98" i="49" s="1"/>
  <c r="D105" i="49"/>
  <c r="E104" i="49"/>
  <c r="C104" i="49"/>
  <c r="B104" i="49" s="1"/>
  <c r="C93" i="5"/>
  <c r="B93" i="5" s="1"/>
  <c r="E93" i="5"/>
  <c r="J85" i="5"/>
  <c r="K85" i="5" s="1"/>
  <c r="L85" i="5" s="1"/>
  <c r="I95" i="5"/>
  <c r="A119" i="49" l="1"/>
  <c r="O118" i="49"/>
  <c r="J99" i="49"/>
  <c r="K99" i="49" s="1"/>
  <c r="L99" i="49" s="1"/>
  <c r="C105" i="49"/>
  <c r="B105" i="49" s="1"/>
  <c r="E105" i="49"/>
  <c r="D106" i="49"/>
  <c r="E94" i="5"/>
  <c r="C94" i="5"/>
  <c r="B94" i="5" s="1"/>
  <c r="J86" i="5"/>
  <c r="K86" i="5" s="1"/>
  <c r="L86" i="5" s="1"/>
  <c r="I96" i="5"/>
  <c r="A120" i="49" l="1"/>
  <c r="O119" i="49"/>
  <c r="J100" i="49"/>
  <c r="K100" i="49" s="1"/>
  <c r="L100" i="49" s="1"/>
  <c r="E106" i="49"/>
  <c r="C106" i="49"/>
  <c r="B106" i="49" s="1"/>
  <c r="D107" i="49"/>
  <c r="E95" i="5"/>
  <c r="C95" i="5"/>
  <c r="B95" i="5" s="1"/>
  <c r="J87" i="5"/>
  <c r="K87" i="5" s="1"/>
  <c r="L87" i="5" s="1"/>
  <c r="I97" i="5"/>
  <c r="A121" i="49" l="1"/>
  <c r="O120" i="49"/>
  <c r="J101" i="49"/>
  <c r="K101" i="49" s="1"/>
  <c r="L101" i="49" s="1"/>
  <c r="D108" i="49"/>
  <c r="C107" i="49"/>
  <c r="B107" i="49" s="1"/>
  <c r="E107" i="49"/>
  <c r="C96" i="5"/>
  <c r="B96" i="5" s="1"/>
  <c r="E96" i="5"/>
  <c r="J88" i="5"/>
  <c r="K88" i="5" s="1"/>
  <c r="L88" i="5" s="1"/>
  <c r="I98" i="5"/>
  <c r="A122" i="49" l="1"/>
  <c r="O121" i="49"/>
  <c r="J102" i="49"/>
  <c r="K102" i="49" s="1"/>
  <c r="L102" i="49" s="1"/>
  <c r="E108" i="49"/>
  <c r="F108" i="49" s="1"/>
  <c r="C108" i="49"/>
  <c r="B108" i="49" s="1"/>
  <c r="C97" i="5"/>
  <c r="B97" i="5" s="1"/>
  <c r="E97" i="5"/>
  <c r="J89" i="5"/>
  <c r="K89" i="5" s="1"/>
  <c r="L89" i="5" s="1"/>
  <c r="I99" i="5"/>
  <c r="A123" i="49" l="1"/>
  <c r="O122" i="49"/>
  <c r="D109" i="49"/>
  <c r="E109" i="49" s="1"/>
  <c r="C109" i="49"/>
  <c r="B109" i="49" s="1"/>
  <c r="J103" i="49"/>
  <c r="K103" i="49" s="1"/>
  <c r="L103" i="49" s="1"/>
  <c r="E98" i="5"/>
  <c r="C98" i="5"/>
  <c r="B98" i="5" s="1"/>
  <c r="J90" i="5"/>
  <c r="K90" i="5" s="1"/>
  <c r="L90" i="5" s="1"/>
  <c r="I100" i="5"/>
  <c r="D110" i="49" l="1"/>
  <c r="D111" i="49" s="1"/>
  <c r="A124" i="49"/>
  <c r="O123" i="49"/>
  <c r="C110" i="49"/>
  <c r="B110" i="49" s="1"/>
  <c r="J104" i="49"/>
  <c r="K104" i="49" s="1"/>
  <c r="L104" i="49" s="1"/>
  <c r="E99" i="5"/>
  <c r="C99" i="5"/>
  <c r="B99" i="5" s="1"/>
  <c r="I101" i="5"/>
  <c r="J91" i="5"/>
  <c r="K91" i="5" s="1"/>
  <c r="L91" i="5" s="1"/>
  <c r="E110" i="49" l="1"/>
  <c r="A125" i="49"/>
  <c r="O124" i="49"/>
  <c r="J105" i="49"/>
  <c r="K105" i="49" s="1"/>
  <c r="L105" i="49" s="1"/>
  <c r="D112" i="49"/>
  <c r="C111" i="49"/>
  <c r="B111" i="49" s="1"/>
  <c r="E111" i="49"/>
  <c r="C100" i="5"/>
  <c r="B100" i="5" s="1"/>
  <c r="E100" i="5"/>
  <c r="I102" i="5"/>
  <c r="J92" i="5"/>
  <c r="K92" i="5" s="1"/>
  <c r="L92" i="5" s="1"/>
  <c r="A126" i="49" l="1"/>
  <c r="O125" i="49"/>
  <c r="J106" i="49"/>
  <c r="K106" i="49" s="1"/>
  <c r="L106" i="49" s="1"/>
  <c r="E112" i="49"/>
  <c r="C112" i="49"/>
  <c r="B112" i="49" s="1"/>
  <c r="D113" i="49"/>
  <c r="E101" i="5"/>
  <c r="C101" i="5"/>
  <c r="B101" i="5" s="1"/>
  <c r="J93" i="5"/>
  <c r="K93" i="5" s="1"/>
  <c r="L93" i="5" s="1"/>
  <c r="I103" i="5"/>
  <c r="A127" i="49" l="1"/>
  <c r="O126" i="49"/>
  <c r="J107" i="49"/>
  <c r="K107" i="49" s="1"/>
  <c r="L107" i="49" s="1"/>
  <c r="J108" i="49" s="1"/>
  <c r="K108" i="49" s="1"/>
  <c r="L108" i="49" s="1"/>
  <c r="M108" i="49" s="1"/>
  <c r="C113" i="49"/>
  <c r="B113" i="49" s="1"/>
  <c r="E113" i="49"/>
  <c r="D114" i="49"/>
  <c r="C102" i="5"/>
  <c r="B102" i="5" s="1"/>
  <c r="E102" i="5"/>
  <c r="J94" i="5"/>
  <c r="K94" i="5" s="1"/>
  <c r="L94" i="5" s="1"/>
  <c r="I104" i="5"/>
  <c r="J109" i="49" l="1"/>
  <c r="I109" i="49"/>
  <c r="I110" i="49" s="1"/>
  <c r="I111" i="49" s="1"/>
  <c r="I112" i="49" s="1"/>
  <c r="I113" i="49" s="1"/>
  <c r="I114" i="49" s="1"/>
  <c r="I115" i="49" s="1"/>
  <c r="I116" i="49" s="1"/>
  <c r="I117" i="49" s="1"/>
  <c r="I118" i="49" s="1"/>
  <c r="I119" i="49" s="1"/>
  <c r="I120" i="49" s="1"/>
  <c r="A128" i="49"/>
  <c r="O127" i="49"/>
  <c r="E114" i="49"/>
  <c r="C114" i="49"/>
  <c r="B114" i="49" s="1"/>
  <c r="D115" i="49"/>
  <c r="C103" i="5"/>
  <c r="B103" i="5" s="1"/>
  <c r="E103" i="5"/>
  <c r="J95" i="5"/>
  <c r="K95" i="5" s="1"/>
  <c r="L95" i="5" s="1"/>
  <c r="I105" i="5"/>
  <c r="K109" i="49" l="1"/>
  <c r="L109" i="49" s="1"/>
  <c r="A129" i="49"/>
  <c r="O128" i="49"/>
  <c r="C115" i="49"/>
  <c r="B115" i="49" s="1"/>
  <c r="E115" i="49"/>
  <c r="D116" i="49"/>
  <c r="E104" i="5"/>
  <c r="C104" i="5"/>
  <c r="B104" i="5" s="1"/>
  <c r="J96" i="5"/>
  <c r="K96" i="5" s="1"/>
  <c r="L96" i="5" s="1"/>
  <c r="I106" i="5"/>
  <c r="A130" i="49" l="1"/>
  <c r="O129" i="49"/>
  <c r="J110" i="49"/>
  <c r="K110" i="49" s="1"/>
  <c r="L110" i="49" s="1"/>
  <c r="D117" i="49"/>
  <c r="E116" i="49"/>
  <c r="C116" i="49"/>
  <c r="B116" i="49" s="1"/>
  <c r="C105" i="5"/>
  <c r="B105" i="5" s="1"/>
  <c r="E105" i="5"/>
  <c r="J97" i="5"/>
  <c r="K97" i="5" s="1"/>
  <c r="L97" i="5" s="1"/>
  <c r="I107" i="5"/>
  <c r="A131" i="49" l="1"/>
  <c r="O130" i="49"/>
  <c r="J111" i="49"/>
  <c r="K111" i="49" s="1"/>
  <c r="L111" i="49" s="1"/>
  <c r="D118" i="49"/>
  <c r="C117" i="49"/>
  <c r="B117" i="49" s="1"/>
  <c r="E117" i="49"/>
  <c r="E106" i="5"/>
  <c r="C106" i="5"/>
  <c r="B106" i="5" s="1"/>
  <c r="J98" i="5"/>
  <c r="K98" i="5" s="1"/>
  <c r="L98" i="5" s="1"/>
  <c r="I108" i="5"/>
  <c r="A132" i="49" l="1"/>
  <c r="O132" i="49" s="1"/>
  <c r="O131" i="49"/>
  <c r="J112" i="49"/>
  <c r="K112" i="49" s="1"/>
  <c r="L112" i="49" s="1"/>
  <c r="D119" i="49"/>
  <c r="E118" i="49"/>
  <c r="C118" i="49"/>
  <c r="B118" i="49" s="1"/>
  <c r="C107" i="5"/>
  <c r="B107" i="5" s="1"/>
  <c r="E107" i="5"/>
  <c r="J99" i="5"/>
  <c r="K99" i="5" s="1"/>
  <c r="L99" i="5" s="1"/>
  <c r="I109" i="5"/>
  <c r="J113" i="49" l="1"/>
  <c r="K113" i="49" s="1"/>
  <c r="L113" i="49" s="1"/>
  <c r="D120" i="49"/>
  <c r="C119" i="49"/>
  <c r="B119" i="49" s="1"/>
  <c r="E119" i="49"/>
  <c r="E108" i="5"/>
  <c r="C108" i="5"/>
  <c r="B108" i="5" s="1"/>
  <c r="J100" i="5"/>
  <c r="K100" i="5" s="1"/>
  <c r="L100" i="5" s="1"/>
  <c r="I110" i="5"/>
  <c r="J114" i="49" l="1"/>
  <c r="K114" i="49" s="1"/>
  <c r="L114" i="49" s="1"/>
  <c r="E120" i="49"/>
  <c r="F120" i="49" s="1"/>
  <c r="C120" i="49"/>
  <c r="B120" i="49" s="1"/>
  <c r="E109" i="5"/>
  <c r="C109" i="5"/>
  <c r="B109" i="5" s="1"/>
  <c r="J101" i="5"/>
  <c r="K101" i="5" s="1"/>
  <c r="L101" i="5" s="1"/>
  <c r="I111" i="5"/>
  <c r="D121" i="49" l="1"/>
  <c r="E121" i="49" s="1"/>
  <c r="C121" i="49"/>
  <c r="B121" i="49" s="1"/>
  <c r="J115" i="49"/>
  <c r="K115" i="49" s="1"/>
  <c r="L115" i="49" s="1"/>
  <c r="C110" i="5"/>
  <c r="B110" i="5" s="1"/>
  <c r="E110" i="5"/>
  <c r="J102" i="5"/>
  <c r="K102" i="5" s="1"/>
  <c r="L102" i="5" s="1"/>
  <c r="I112" i="5"/>
  <c r="D122" i="49" l="1"/>
  <c r="E122" i="49" s="1"/>
  <c r="J116" i="49"/>
  <c r="K116" i="49" s="1"/>
  <c r="L116" i="49" s="1"/>
  <c r="C122" i="49"/>
  <c r="E111" i="5"/>
  <c r="C111" i="5"/>
  <c r="B111" i="5" s="1"/>
  <c r="J103" i="5"/>
  <c r="K103" i="5" s="1"/>
  <c r="L103" i="5" s="1"/>
  <c r="I113" i="5"/>
  <c r="D123" i="49" l="1"/>
  <c r="D124" i="49" s="1"/>
  <c r="B122" i="49"/>
  <c r="J117" i="49"/>
  <c r="K117" i="49" s="1"/>
  <c r="L117" i="49" s="1"/>
  <c r="C123" i="49"/>
  <c r="B123" i="49" s="1"/>
  <c r="E123" i="49"/>
  <c r="C112" i="5"/>
  <c r="B112" i="5" s="1"/>
  <c r="E112" i="5"/>
  <c r="J104" i="5"/>
  <c r="K104" i="5" s="1"/>
  <c r="L104" i="5" s="1"/>
  <c r="I114" i="5"/>
  <c r="E124" i="49" l="1"/>
  <c r="C124" i="49"/>
  <c r="B124" i="49" s="1"/>
  <c r="J118" i="49"/>
  <c r="K118" i="49" s="1"/>
  <c r="L118" i="49" s="1"/>
  <c r="D125" i="49"/>
  <c r="E113" i="5"/>
  <c r="C113" i="5"/>
  <c r="B113" i="5" s="1"/>
  <c r="J105" i="5"/>
  <c r="K105" i="5" s="1"/>
  <c r="L105" i="5" s="1"/>
  <c r="I115" i="5"/>
  <c r="J119" i="49" l="1"/>
  <c r="K119" i="49" s="1"/>
  <c r="L119" i="49" s="1"/>
  <c r="J120" i="49" s="1"/>
  <c r="K120" i="49" s="1"/>
  <c r="L120" i="49" s="1"/>
  <c r="M120" i="49" s="1"/>
  <c r="D126" i="49"/>
  <c r="C125" i="49"/>
  <c r="B125" i="49" s="1"/>
  <c r="E125" i="49"/>
  <c r="E114" i="5"/>
  <c r="C114" i="5"/>
  <c r="B114" i="5" s="1"/>
  <c r="J106" i="5"/>
  <c r="K106" i="5" s="1"/>
  <c r="L106" i="5" s="1"/>
  <c r="I116" i="5"/>
  <c r="J121" i="49" l="1"/>
  <c r="I121" i="49"/>
  <c r="I122" i="49" s="1"/>
  <c r="I123" i="49" s="1"/>
  <c r="I124" i="49" s="1"/>
  <c r="I125" i="49" s="1"/>
  <c r="I126" i="49" s="1"/>
  <c r="I127" i="49" s="1"/>
  <c r="I128" i="49" s="1"/>
  <c r="I129" i="49" s="1"/>
  <c r="I130" i="49" s="1"/>
  <c r="I131" i="49" s="1"/>
  <c r="I132" i="49" s="1"/>
  <c r="E126" i="49"/>
  <c r="C126" i="49"/>
  <c r="B126" i="49" s="1"/>
  <c r="D127" i="49"/>
  <c r="E115" i="5"/>
  <c r="C115" i="5"/>
  <c r="B115" i="5" s="1"/>
  <c r="J107" i="5"/>
  <c r="K107" i="5" s="1"/>
  <c r="L107" i="5" s="1"/>
  <c r="I117" i="5"/>
  <c r="K121" i="49" l="1"/>
  <c r="L121" i="49" s="1"/>
  <c r="D128" i="49"/>
  <c r="C127" i="49"/>
  <c r="B127" i="49" s="1"/>
  <c r="E127" i="49"/>
  <c r="C116" i="5"/>
  <c r="B116" i="5" s="1"/>
  <c r="E116" i="5"/>
  <c r="J108" i="5"/>
  <c r="K108" i="5" s="1"/>
  <c r="L108" i="5" s="1"/>
  <c r="I118" i="5"/>
  <c r="J122" i="49" l="1"/>
  <c r="K122" i="49" s="1"/>
  <c r="L122" i="49" s="1"/>
  <c r="D129" i="49"/>
  <c r="E128" i="49"/>
  <c r="C128" i="49"/>
  <c r="B128" i="49" s="1"/>
  <c r="C117" i="5"/>
  <c r="B117" i="5" s="1"/>
  <c r="E117" i="5"/>
  <c r="J109" i="5"/>
  <c r="K109" i="5" s="1"/>
  <c r="L109" i="5" s="1"/>
  <c r="I119" i="5"/>
  <c r="J123" i="49" l="1"/>
  <c r="K123" i="49" s="1"/>
  <c r="L123" i="49" s="1"/>
  <c r="C129" i="49"/>
  <c r="B129" i="49" s="1"/>
  <c r="E129" i="49"/>
  <c r="D130" i="49"/>
  <c r="C118" i="5"/>
  <c r="B118" i="5" s="1"/>
  <c r="E118" i="5"/>
  <c r="J110" i="5"/>
  <c r="K110" i="5" s="1"/>
  <c r="L110" i="5" s="1"/>
  <c r="I120" i="5"/>
  <c r="J124" i="49" l="1"/>
  <c r="K124" i="49" s="1"/>
  <c r="L124" i="49" s="1"/>
  <c r="D131" i="49"/>
  <c r="E130" i="49"/>
  <c r="C130" i="49"/>
  <c r="B130" i="49" s="1"/>
  <c r="E119" i="5"/>
  <c r="C119" i="5"/>
  <c r="B119" i="5" s="1"/>
  <c r="J111" i="5"/>
  <c r="K111" i="5" s="1"/>
  <c r="L111" i="5" s="1"/>
  <c r="I121" i="5"/>
  <c r="J125" i="49" l="1"/>
  <c r="K125" i="49" s="1"/>
  <c r="L125" i="49" s="1"/>
  <c r="D132" i="49"/>
  <c r="I133" i="49"/>
  <c r="C131" i="49"/>
  <c r="B131" i="49" s="1"/>
  <c r="E131" i="49"/>
  <c r="E120" i="5"/>
  <c r="C120" i="5"/>
  <c r="B120" i="5" s="1"/>
  <c r="J112" i="5"/>
  <c r="K112" i="5" s="1"/>
  <c r="L112" i="5" s="1"/>
  <c r="I122" i="5"/>
  <c r="J126" i="49" l="1"/>
  <c r="K126" i="49" s="1"/>
  <c r="L126" i="49" s="1"/>
  <c r="E132" i="49"/>
  <c r="C132" i="49"/>
  <c r="D133" i="49"/>
  <c r="C121" i="5"/>
  <c r="B121" i="5" s="1"/>
  <c r="E121" i="5"/>
  <c r="J113" i="5"/>
  <c r="K113" i="5" s="1"/>
  <c r="L113" i="5" s="1"/>
  <c r="I123" i="5"/>
  <c r="C133" i="49" l="1"/>
  <c r="C134" i="49"/>
  <c r="B132" i="49"/>
  <c r="B133" i="49" s="1"/>
  <c r="J127" i="49"/>
  <c r="K127" i="49" s="1"/>
  <c r="L127" i="49" s="1"/>
  <c r="C122" i="5"/>
  <c r="B122" i="5" s="1"/>
  <c r="E122" i="5"/>
  <c r="J114" i="5"/>
  <c r="K114" i="5" s="1"/>
  <c r="L114" i="5" s="1"/>
  <c r="I124" i="5"/>
  <c r="J128" i="49" l="1"/>
  <c r="K128" i="49" s="1"/>
  <c r="L128" i="49" s="1"/>
  <c r="E123" i="5"/>
  <c r="C123" i="5"/>
  <c r="B123" i="5" s="1"/>
  <c r="J115" i="5"/>
  <c r="K115" i="5" s="1"/>
  <c r="L115" i="5" s="1"/>
  <c r="I125" i="5"/>
  <c r="J129" i="49" l="1"/>
  <c r="K129" i="49" s="1"/>
  <c r="L129" i="49" s="1"/>
  <c r="E124" i="5"/>
  <c r="C124" i="5"/>
  <c r="B124" i="5" s="1"/>
  <c r="J116" i="5"/>
  <c r="K116" i="5" s="1"/>
  <c r="L116" i="5" s="1"/>
  <c r="I126" i="5"/>
  <c r="J130" i="49" l="1"/>
  <c r="K130" i="49" s="1"/>
  <c r="L130" i="49" s="1"/>
  <c r="E125" i="5"/>
  <c r="C125" i="5"/>
  <c r="B125" i="5" s="1"/>
  <c r="J117" i="5"/>
  <c r="K117" i="5" s="1"/>
  <c r="L117" i="5" s="1"/>
  <c r="I127" i="5"/>
  <c r="J131" i="49" l="1"/>
  <c r="K131" i="49" s="1"/>
  <c r="L131" i="49" s="1"/>
  <c r="E126" i="5"/>
  <c r="C126" i="5"/>
  <c r="B126" i="5" s="1"/>
  <c r="J118" i="5"/>
  <c r="K118" i="5" s="1"/>
  <c r="L118" i="5" s="1"/>
  <c r="I128" i="5"/>
  <c r="J132" i="49" l="1"/>
  <c r="C127" i="5"/>
  <c r="B127" i="5" s="1"/>
  <c r="E127" i="5"/>
  <c r="J119" i="5"/>
  <c r="K119" i="5" s="1"/>
  <c r="L119" i="5" s="1"/>
  <c r="I129" i="5"/>
  <c r="J133" i="49" l="1"/>
  <c r="J134" i="49"/>
  <c r="K132" i="49"/>
  <c r="E128" i="5"/>
  <c r="C128" i="5"/>
  <c r="B128" i="5" s="1"/>
  <c r="J120" i="5"/>
  <c r="K120" i="5" s="1"/>
  <c r="L120" i="5" s="1"/>
  <c r="I130" i="5"/>
  <c r="K133" i="49" l="1"/>
  <c r="L132" i="49"/>
  <c r="C129" i="5"/>
  <c r="B129" i="5" s="1"/>
  <c r="E129" i="5"/>
  <c r="J121" i="5"/>
  <c r="K121" i="5" s="1"/>
  <c r="L121" i="5" s="1"/>
  <c r="I131" i="5"/>
  <c r="C130" i="5" l="1"/>
  <c r="E130" i="5"/>
  <c r="J122" i="5"/>
  <c r="K122" i="5" s="1"/>
  <c r="L122" i="5" s="1"/>
  <c r="C131" i="5" l="1"/>
  <c r="B130" i="5"/>
  <c r="B131" i="5" s="1"/>
  <c r="C132" i="5"/>
  <c r="J123" i="5"/>
  <c r="K123" i="5" s="1"/>
  <c r="L123" i="5" s="1"/>
  <c r="J124" i="5" l="1"/>
  <c r="K124" i="5" s="1"/>
  <c r="L124" i="5" s="1"/>
  <c r="J125" i="5" l="1"/>
  <c r="K125" i="5" s="1"/>
  <c r="L125" i="5" s="1"/>
  <c r="J126" i="5" l="1"/>
  <c r="K126" i="5" s="1"/>
  <c r="L126" i="5" s="1"/>
  <c r="J127" i="5" l="1"/>
  <c r="K127" i="5" s="1"/>
  <c r="L127" i="5" s="1"/>
  <c r="J128" i="5" l="1"/>
  <c r="K128" i="5" s="1"/>
  <c r="L128" i="5" s="1"/>
  <c r="J129" i="5" l="1"/>
  <c r="K129" i="5" s="1"/>
  <c r="L129" i="5" s="1"/>
  <c r="J130" i="5" l="1"/>
  <c r="J132" i="5" l="1"/>
  <c r="J131" i="5"/>
  <c r="K130" i="5"/>
  <c r="K131" i="5" l="1"/>
  <c r="L1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</author>
  </authors>
  <commentList>
    <comment ref="I7" authorId="0" shapeId="0" xr:uid="{6077A081-FF47-47F9-B9DA-BD663B5CC7A4}">
      <text>
        <r>
          <rPr>
            <sz val="9"/>
            <color indexed="81"/>
            <rFont val="Segoe UI"/>
            <family val="2"/>
          </rPr>
          <t>valor da parcela é constante</t>
        </r>
      </text>
    </comment>
    <comment ref="J16" authorId="0" shapeId="0" xr:uid="{0A1B4AC2-55DF-4C90-A6D4-E92038D7278A}">
      <text>
        <r>
          <rPr>
            <sz val="9"/>
            <color indexed="81"/>
            <rFont val="Segoe UI"/>
            <family val="2"/>
          </rPr>
          <t>valor da amortização é constante</t>
        </r>
      </text>
    </comment>
  </commentList>
</comments>
</file>

<file path=xl/sharedStrings.xml><?xml version="1.0" encoding="utf-8"?>
<sst xmlns="http://schemas.openxmlformats.org/spreadsheetml/2006/main" count="334" uniqueCount="204">
  <si>
    <t>i =</t>
  </si>
  <si>
    <t>n =</t>
  </si>
  <si>
    <t>P =</t>
  </si>
  <si>
    <t xml:space="preserve">P = </t>
  </si>
  <si>
    <t>Sistema de Amortização Constante (SAC)</t>
  </si>
  <si>
    <t>Período</t>
  </si>
  <si>
    <t>Prestação</t>
  </si>
  <si>
    <t>Juros</t>
  </si>
  <si>
    <t>Amortização</t>
  </si>
  <si>
    <t>Saldo Devedor</t>
  </si>
  <si>
    <t>Total</t>
  </si>
  <si>
    <t>VP juros:</t>
  </si>
  <si>
    <t>Sistema Francês (tabela PRICE)</t>
  </si>
  <si>
    <t xml:space="preserve">i = </t>
  </si>
  <si>
    <t>a.a.</t>
  </si>
  <si>
    <t>a.m.</t>
  </si>
  <si>
    <t xml:space="preserve">taxa anual: </t>
  </si>
  <si>
    <t xml:space="preserve">O preço de um automóvel é R$50.000. O vendedor sugere 2 opções de financiamento: </t>
  </si>
  <si>
    <t>entrada de 50% + 24 parcelas de R$1.173,34.</t>
  </si>
  <si>
    <t xml:space="preserve">Qual a opção mais vantajosa? Ou seria ainda mais vantajoso comprar à vista, sem desconto? </t>
  </si>
  <si>
    <t xml:space="preserve">VP = </t>
  </si>
  <si>
    <t xml:space="preserve">n = </t>
  </si>
  <si>
    <t>meses</t>
  </si>
  <si>
    <t xml:space="preserve">Um imóvel cujo valor à vista é R$100.000 será financiado a uma taxa de 0,85% ao mês, em 60 meses. </t>
  </si>
  <si>
    <t>&gt;&gt; número de prestações</t>
  </si>
  <si>
    <t xml:space="preserve">A/P = </t>
  </si>
  <si>
    <t xml:space="preserve">A = </t>
  </si>
  <si>
    <t xml:space="preserve">F = </t>
  </si>
  <si>
    <t>[1]</t>
  </si>
  <si>
    <t>[2]</t>
  </si>
  <si>
    <t xml:space="preserve">Qual será o valor da prestação mensal? </t>
  </si>
  <si>
    <t>&gt;&gt; taxa efetiva</t>
  </si>
  <si>
    <t xml:space="preserve">Qual a taxa de juros embutida neste financiamento? </t>
  </si>
  <si>
    <t xml:space="preserve">Pretende-se realizar uma viagem 2 anos após a data presente. </t>
  </si>
  <si>
    <t>O valor da viagem deverá ser de aproximadamente R$30.000.</t>
  </si>
  <si>
    <t>Pretende-se realizar depósitos mensais regulares em um fundo de investimento cuja taxa de remuneração é de 7% a.a.</t>
  </si>
  <si>
    <t xml:space="preserve">Quanto deverá ser o valor mensal a ser depositado? </t>
  </si>
  <si>
    <t xml:space="preserve">para se acumular o valor de R$ 1 milhão? </t>
  </si>
  <si>
    <t xml:space="preserve">Quanto será necessário poupar mensalmente, durante 35 anos, aplicados a uma taxa de 2,75% a.a., </t>
  </si>
  <si>
    <t>n</t>
  </si>
  <si>
    <t>ao ano</t>
  </si>
  <si>
    <t>ao mês</t>
  </si>
  <si>
    <t>a.d.</t>
  </si>
  <si>
    <t>ao dia</t>
  </si>
  <si>
    <t>F</t>
  </si>
  <si>
    <t>i</t>
  </si>
  <si>
    <t>taxa de juros (letra "i" provém do termo em inglês: "interest rate")</t>
  </si>
  <si>
    <t>FA</t>
  </si>
  <si>
    <t>P</t>
  </si>
  <si>
    <t>fator de atualização = (1 + i)</t>
  </si>
  <si>
    <t>valor presente: o valor no tempo zero na análise</t>
  </si>
  <si>
    <t>do inglês "present value"</t>
  </si>
  <si>
    <t>ou</t>
  </si>
  <si>
    <t>VP</t>
  </si>
  <si>
    <t>PV</t>
  </si>
  <si>
    <t>valor futuro: o valor no final do período de tempo considerado na análise</t>
  </si>
  <si>
    <t>VF</t>
  </si>
  <si>
    <t>FV</t>
  </si>
  <si>
    <t>do inglês "future value"</t>
  </si>
  <si>
    <t xml:space="preserve">a.m. </t>
  </si>
  <si>
    <t>nper</t>
  </si>
  <si>
    <t>duração de tempo da transação financeira (diário, mensal, semestral, anual etc.)</t>
  </si>
  <si>
    <t>a taxa de juros é aplicada neste determinado tempo</t>
  </si>
  <si>
    <t>geralmente dada em percentual (ex.: 8%) acompanhada do período de tempo de incidência:</t>
  </si>
  <si>
    <t>fator numérico que deve ser multiplicado a um valor para atualizá-lo segundo uma certa taxa (taxa de juros ou taxa de inflação)</t>
  </si>
  <si>
    <t>J</t>
  </si>
  <si>
    <t>valor dos juros     = P*i</t>
  </si>
  <si>
    <t>A</t>
  </si>
  <si>
    <t>PMT</t>
  </si>
  <si>
    <t>valor de série uniforme: valor de um pagamento constante ao longo das "n" períodos, equivalente a um valor presente ou futuro</t>
  </si>
  <si>
    <t>do inglês "payment"</t>
  </si>
  <si>
    <t>PGTO</t>
  </si>
  <si>
    <t>(Excel)</t>
  </si>
  <si>
    <t xml:space="preserve">Um certo valor foi financiado em 6 prestações mensais e consecutivas de $1.000,00. </t>
  </si>
  <si>
    <t>Se a taxa de juros (compostos) é de 1% a.m., qual o valor do empréstimo?</t>
  </si>
  <si>
    <t>[3]</t>
  </si>
  <si>
    <t>[4]</t>
  </si>
  <si>
    <t xml:space="preserve">O preço de um automóvel à vista é R$50.000. Para financiá-lo, é necessário dar uma entrada de 25%, </t>
  </si>
  <si>
    <t>[5]</t>
  </si>
  <si>
    <t>[6]</t>
  </si>
  <si>
    <t>[7]</t>
  </si>
  <si>
    <t xml:space="preserve">Compare os valores da primeira prestação, da amortização e dos juros pelo sistema SAC e pelo sistema PRICE. </t>
  </si>
  <si>
    <t xml:space="preserve">O financiamento de um imóvel no valor de $200.000 será feito em 120 parcelas mensais, com taxa de 1% a.m. </t>
  </si>
  <si>
    <t>[8]</t>
  </si>
  <si>
    <t xml:space="preserve">Um equipamento no valor de $40.000 deve ser financiado em 6 meses. </t>
  </si>
  <si>
    <t xml:space="preserve">Se o financiamento fôr feito pelo sistema SAC, a taxa de juros será de 2,25% a.m., </t>
  </si>
  <si>
    <t>Qual a opção mais vantajosa?</t>
  </si>
  <si>
    <t>e pelo sistema PRICE a taxa de juros será de 2,22% a.m.</t>
  </si>
  <si>
    <t>entrada de 25% + 48 parcelas de R$ 987,52 ou</t>
  </si>
  <si>
    <t xml:space="preserve">e o restante será quitado em 48 parcelas de R$ 999,00. </t>
  </si>
  <si>
    <t xml:space="preserve">F/P = </t>
  </si>
  <si>
    <t xml:space="preserve">18*A = </t>
  </si>
  <si>
    <t xml:space="preserve">F/A = </t>
  </si>
  <si>
    <t>P  =</t>
  </si>
  <si>
    <t xml:space="preserve">P/A(calc) = </t>
  </si>
  <si>
    <t xml:space="preserve">erro = </t>
  </si>
  <si>
    <t xml:space="preserve">A(calc) = </t>
  </si>
  <si>
    <t>parcelas</t>
  </si>
  <si>
    <t>Sistema de amortização PRICE</t>
  </si>
  <si>
    <t>SAC - sistema de amortização constante</t>
  </si>
  <si>
    <t>Exemplo: cálculo da taxa de juros equivalente a uma série uniforme de pagamentos</t>
  </si>
  <si>
    <t>&gt;&gt; taxa de juros</t>
  </si>
  <si>
    <t>&gt;&gt; valor financiado = valor presente</t>
  </si>
  <si>
    <t>&gt;&gt; relação de equivalência</t>
  </si>
  <si>
    <t>&gt;&gt; valor da prestação</t>
  </si>
  <si>
    <t>&gt;&gt; cálculo utilizando a função PGTO do Excel</t>
  </si>
  <si>
    <t xml:space="preserve">Um automóvel custa $30.000,00 à vista, mas foi financiado em 18 parcelas mensais iguais, </t>
  </si>
  <si>
    <t>a uma taxa de juros compostos de 2% a.m. Qual é o valor da prestação?</t>
  </si>
  <si>
    <t>&gt;&gt; cálculo utilizando a função VF do Excel</t>
  </si>
  <si>
    <t>Cálculo do valor futuro a partir do valor das prestações</t>
  </si>
  <si>
    <t>&gt;&gt; observar que resulta o mesmo valor da prestação única paga no final dos 18 meses</t>
  </si>
  <si>
    <t>&gt;&gt; valor financiado</t>
  </si>
  <si>
    <t>&gt;&gt; valor das prestações (uniformes)</t>
  </si>
  <si>
    <t>&gt;&gt; fator de atualização P/A efetivo</t>
  </si>
  <si>
    <t>&gt;&gt; fator de atualização P/A calculado a partir da taxa de juros arbitrada</t>
  </si>
  <si>
    <t xml:space="preserve">P/A(real) = </t>
  </si>
  <si>
    <t>&gt;&gt; erro = [ P/A(calc) - P/A(real) ]</t>
  </si>
  <si>
    <t>&gt;&gt; valor total das prestações pagas</t>
  </si>
  <si>
    <t xml:space="preserve">E se o pagamento fôsse feito uma única vez, ao final do período, qual o valor a ser pago? </t>
  </si>
  <si>
    <t>&gt;&gt; outra forma de fazer seria calcular o valor de A a partir da taxa de juros arbitrada</t>
  </si>
  <si>
    <t>&gt;&gt; erro = [ A(calc) - A(real) ]</t>
  </si>
  <si>
    <t xml:space="preserve">&gt;&gt; taxa de juros: arbitra-se um valor inicial, </t>
  </si>
  <si>
    <t>e atualiza-se o valor até que o fator P/A(calc) coincida com o fator P/A dado</t>
  </si>
  <si>
    <t>O procedimento iterativo pode ser realizado utilizando-se a função "Atingir meta" da planilha Excel.</t>
  </si>
  <si>
    <t>Nas versões mais recentes: &gt;&gt; menu "Dados" &gt;&gt; "Teste de hipóteses" &gt;&gt; "Atingir meta"</t>
  </si>
  <si>
    <t>Exemplo: analisando o exemplo 2 de série uniforme como um sistema de amortização</t>
  </si>
  <si>
    <t>SD(inicial)</t>
  </si>
  <si>
    <t>SD(final)</t>
  </si>
  <si>
    <t>soma</t>
  </si>
  <si>
    <t>parcelas (A)</t>
  </si>
  <si>
    <t>amortização</t>
  </si>
  <si>
    <t>juros</t>
  </si>
  <si>
    <t>alternativa &gt;&gt;&gt;&gt;&gt;&gt;&gt;&gt;&gt;&gt;&gt;&gt;&gt;&gt;&gt;</t>
  </si>
  <si>
    <t>EXERCÍCIOS</t>
  </si>
  <si>
    <t>correção monetária pelo IGP-M a cada 12 meses</t>
  </si>
  <si>
    <t xml:space="preserve">i(infl) = </t>
  </si>
  <si>
    <t>SD corrigido</t>
  </si>
  <si>
    <t>prest restantes</t>
  </si>
  <si>
    <t>Um imóvel no valor de R$1 milhão pode ser financiado pelo sistema SAC, em 120 meses, com taxa de juros de 1%a.m.</t>
  </si>
  <si>
    <t>Se, ao invés de financiá-lo, eu alugá-lo, e aplicar a diferença de valor entre o valor da prestação e o valor do aluguel</t>
  </si>
  <si>
    <t xml:space="preserve">em um investimento com a mesma taxa de juros de 1,0%a.m., em quanto tempo eu conseguiria comprar o imóvel? </t>
  </si>
  <si>
    <t>[9]</t>
  </si>
  <si>
    <t>&gt;&gt; valor da prestação sem valor residual</t>
  </si>
  <si>
    <t xml:space="preserve">P' = </t>
  </si>
  <si>
    <t xml:space="preserve">VP(residual) = </t>
  </si>
  <si>
    <t xml:space="preserve">Residual = </t>
  </si>
  <si>
    <t>&gt;&gt; valor residual do carro ao final do período</t>
  </si>
  <si>
    <t>&gt;&gt; valor presente referente ao valor residual</t>
  </si>
  <si>
    <t>&gt;&gt; valor da prestação considerando o valor residual</t>
  </si>
  <si>
    <t>&gt;&gt; valor do bem, descontado seu valor residual</t>
  </si>
  <si>
    <t>(ou seja, com a devolução do bem ao final)</t>
  </si>
  <si>
    <t xml:space="preserve">valor residual = </t>
  </si>
  <si>
    <t xml:space="preserve">VF(veículo) = </t>
  </si>
  <si>
    <t xml:space="preserve">taxa = </t>
  </si>
  <si>
    <t>&gt;&gt; valor que o veículo poderia ser vendido ao final do período</t>
  </si>
  <si>
    <t>&gt;&gt; taxa de juros correspondente às prestações</t>
  </si>
  <si>
    <t xml:space="preserve">Um veículo de $18.500,00 está sendo adquirido através de uma operação de leasing, com taxa de 2%a.m., </t>
  </si>
  <si>
    <t xml:space="preserve">Calcular o valor da prestação com e sem o valor residual. </t>
  </si>
  <si>
    <t xml:space="preserve">Um veículo de $26.000,00 está sendo adquirido através de uma operação de leasing, com taxa de 12%a.a., </t>
  </si>
  <si>
    <t>&gt;&gt; valor presente líquido que está sendo financiado</t>
  </si>
  <si>
    <t>(b) com a opção de compra ao final do período, o valor da prestação é de $720, e ao final do período o veículo</t>
  </si>
  <si>
    <t xml:space="preserve">     poderá ser comprado por $7.000; nestas condições, qual a taxa que está sendo efetivamente aplicada?</t>
  </si>
  <si>
    <t xml:space="preserve">i_eff = </t>
  </si>
  <si>
    <t>&gt;&gt; preço de aquisição do carro ao final do período</t>
  </si>
  <si>
    <t xml:space="preserve">durante um período de 36 meses. O valor residual, definido no ato da contratação, é de 5% sobre o valor do veículo novo. </t>
  </si>
  <si>
    <t>&gt;&gt; ao final do período</t>
  </si>
  <si>
    <t>(ou seja, equivalente à compra do veículo, à mesma taxa)</t>
  </si>
  <si>
    <t>Supondo que o valor de mercado do veículo, ao final do período de leasing, seja 10% do valor inicial:</t>
  </si>
  <si>
    <t>&gt;&gt; percentual sobre o valor do veículo novo</t>
  </si>
  <si>
    <t xml:space="preserve">Valor de venda = </t>
  </si>
  <si>
    <t xml:space="preserve">(c) na opção pela compra, caso o valor de mercado do veículo ao final do período esteja estimado em $3.500, qual a taxa efetiva? </t>
  </si>
  <si>
    <t xml:space="preserve">durante um período de 36 meses. </t>
  </si>
  <si>
    <t xml:space="preserve">Valor futuro líquido = </t>
  </si>
  <si>
    <t>&gt;&gt; valor presente do fluxo de caixa</t>
  </si>
  <si>
    <t xml:space="preserve">(a) sem a opção de compra, o valor da prestação mensal é de $700; neste caso, </t>
  </si>
  <si>
    <t xml:space="preserve">     qual o valor residual do veículo que está sendo considerado? </t>
  </si>
  <si>
    <t xml:space="preserve">VF(residual) = </t>
  </si>
  <si>
    <t>[10]</t>
  </si>
  <si>
    <t xml:space="preserve">Quanto será necessário investir mensalmente, durante 35 anos, aplicados a uma taxa pós-fixada de IPCA+2,75%a.a., </t>
  </si>
  <si>
    <t>&gt;&gt; função “VP” do Excel</t>
  </si>
  <si>
    <t xml:space="preserve">P/A = </t>
  </si>
  <si>
    <t xml:space="preserve">i*(1+i)^n = </t>
  </si>
  <si>
    <t xml:space="preserve">(1+i)^n – 1 = </t>
  </si>
  <si>
    <t xml:space="preserve">(1+i)^n = </t>
  </si>
  <si>
    <t>&gt;&gt; função “taxa” do Excel</t>
  </si>
  <si>
    <t>&gt;&gt; diferença entre o valor dado e o valor calculado &gt; tem que ser zero</t>
  </si>
  <si>
    <t xml:space="preserve">Erro = </t>
  </si>
  <si>
    <t>Alterar o valor de i até que o valor de A/P calculado seja igual ao valor A/P dado</t>
  </si>
  <si>
    <t>&gt; valor calculado</t>
  </si>
  <si>
    <t>&gt;&gt; inicialmente arbitrado, vai modificando</t>
  </si>
  <si>
    <t>&gt;&gt; valor dado</t>
  </si>
  <si>
    <t xml:space="preserve">Qual a taxa de juros equivalente a este financiamento? </t>
  </si>
  <si>
    <r>
      <rPr>
        <sz val="10"/>
        <rFont val="Arial"/>
      </rPr>
      <t xml:space="preserve">O preço à vista de um smartphone é R$2.500. Posso adquirí-lo em 12 prestações iguais </t>
    </r>
    <r>
      <rPr>
        <sz val="10"/>
        <rFont val="Arial"/>
      </rPr>
      <t xml:space="preserve">de R$300. </t>
    </r>
  </si>
  <si>
    <t>&gt;&gt; valor presente equivalente a R$1milhão daqui a 35 anos</t>
  </si>
  <si>
    <t>anos</t>
  </si>
  <si>
    <t xml:space="preserve">Quanto será necessário poupar mensalmente, durante 20 anos, aplicados a uma taxa de 8,0% a.a., </t>
  </si>
  <si>
    <t>Também se poderia calcular primeiramente o valor presente equivalente, e utilizar a relação A/P:</t>
  </si>
  <si>
    <t>P = P1 + P2 =</t>
  </si>
  <si>
    <t>» valor presente equivalente à série de 3 pagamentos</t>
  </si>
  <si>
    <t xml:space="preserve">P2 = </t>
  </si>
  <si>
    <t>» número de períodos</t>
  </si>
  <si>
    <t>» valor da prestação (série uniforme)</t>
  </si>
  <si>
    <t>» valor da entrada à vista</t>
  </si>
  <si>
    <t xml:space="preserve">P1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</si>
</sst>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R$&quot;\ #,##0.00;[Red]\-&quot;R$&quot;\ #,##0.00"/>
    <numFmt numFmtId="43" formatCode="_-* #,##0.00_-;\-* #,##0.00_-;_-* &quot;-&quot;??_-;_-@_-"/>
    <numFmt numFmtId="164" formatCode="0.000%"/>
    <numFmt numFmtId="165" formatCode="0.0000%"/>
    <numFmt numFmtId="166" formatCode="&quot;R$&quot;\ #,##0.00_);[Red]\(&quot;R$&quot;\ #,##0.00\)"/>
    <numFmt numFmtId="167" formatCode="_-* #,##0.000_-;\-* #,##0.000_-;_-* &quot;-&quot;???_-;_-@_-"/>
    <numFmt numFmtId="168" formatCode="_-* #,##0.00_-;\-* #,##0.00_-;_-* &quot;-&quot;???_-;_-@_-"/>
    <numFmt numFmtId="169" formatCode="#,##0.00_ ;[Red]\-#,##0.00\ "/>
    <numFmt numFmtId="170" formatCode="#,##0.000000000_ ;[Red]\-#,##0.000000000\ "/>
    <numFmt numFmtId="171" formatCode="#,##0.000000"/>
    <numFmt numFmtId="172" formatCode="#,##0.0000000"/>
    <numFmt numFmtId="173" formatCode="#,##0.00_);\(#,##0.00\)"/>
    <numFmt numFmtId="174" formatCode="#,##0.00_);[Red]\(#,##0.00\)"/>
    <numFmt numFmtId="175" formatCode="#,##0.0_);\(#,##0.0\)"/>
    <numFmt numFmtId="176" formatCode="#,##0.0_);[Red]\-#,##0.0"/>
    <numFmt numFmtId="177" formatCode="0.0%"/>
    <numFmt numFmtId="178" formatCode="_-* #,##0.00_-;\-* #,##0.00_-;_-* \-??_-;_-@_-"/>
    <numFmt numFmtId="179" formatCode="[$R$-416]\ #,##0.00;[Red]\-[$R$-416]\ #,##0.00"/>
    <numFmt numFmtId="180" formatCode="_-* #,##0.000_-;\-* #,##0.000_-;_-* \-???_-;_-@_-"/>
    <numFmt numFmtId="181" formatCode="_-* #,##0.00_-;\-* #,##0.00_-;_-* \-???_-;_-@_-"/>
    <numFmt numFmtId="182" formatCode="0.000000%"/>
    <numFmt numFmtId="183" formatCode="0.00000%"/>
    <numFmt numFmtId="184" formatCode="#,##0.0000"/>
    <numFmt numFmtId="185" formatCode="#,##0.00000000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81"/>
      <name val="Segoe UI"/>
      <family val="2"/>
    </font>
    <font>
      <sz val="10"/>
      <name val="Arial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9D4"/>
      </patternFill>
    </fill>
    <fill>
      <patternFill patternType="solid">
        <fgColor rgb="FFFFFFCC"/>
        <bgColor rgb="FFFFFFCC"/>
      </patternFill>
    </fill>
    <fill>
      <patternFill patternType="solid">
        <fgColor rgb="FFFFF5CE"/>
        <bgColor rgb="FFFFFFCC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Border="0" applyProtection="0"/>
    <xf numFmtId="178" fontId="7" fillId="0" borderId="0" applyBorder="0" applyProtection="0"/>
  </cellStyleXfs>
  <cellXfs count="126">
    <xf numFmtId="0" fontId="0" fillId="0" borderId="0" xfId="0"/>
    <xf numFmtId="0" fontId="0" fillId="0" borderId="0" xfId="0" applyAlignment="1">
      <alignment horizontal="right"/>
    </xf>
    <xf numFmtId="0" fontId="0" fillId="0" borderId="5" xfId="0" applyBorder="1"/>
    <xf numFmtId="0" fontId="4" fillId="0" borderId="0" xfId="0" applyFont="1"/>
    <xf numFmtId="0" fontId="0" fillId="2" borderId="2" xfId="0" applyFill="1" applyBorder="1" applyAlignment="1">
      <alignment horizontal="right"/>
    </xf>
    <xf numFmtId="4" fontId="0" fillId="2" borderId="3" xfId="0" applyNumberFormat="1" applyFill="1" applyBorder="1"/>
    <xf numFmtId="0" fontId="5" fillId="0" borderId="0" xfId="0" applyFont="1"/>
    <xf numFmtId="0" fontId="0" fillId="2" borderId="4" xfId="0" applyFill="1" applyBorder="1" applyAlignment="1">
      <alignment horizontal="right"/>
    </xf>
    <xf numFmtId="0" fontId="0" fillId="2" borderId="5" xfId="0" applyFill="1" applyBorder="1"/>
    <xf numFmtId="0" fontId="0" fillId="2" borderId="8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3" xfId="0" applyBorder="1"/>
    <xf numFmtId="39" fontId="0" fillId="0" borderId="13" xfId="0" applyNumberFormat="1" applyBorder="1"/>
    <xf numFmtId="4" fontId="0" fillId="0" borderId="14" xfId="0" applyNumberFormat="1" applyBorder="1"/>
    <xf numFmtId="39" fontId="0" fillId="0" borderId="5" xfId="0" applyNumberFormat="1" applyBorder="1"/>
    <xf numFmtId="0" fontId="0" fillId="0" borderId="15" xfId="0" applyBorder="1" applyAlignment="1">
      <alignment horizontal="center"/>
    </xf>
    <xf numFmtId="10" fontId="0" fillId="0" borderId="0" xfId="1" applyNumberFormat="1" applyFont="1"/>
    <xf numFmtId="40" fontId="0" fillId="0" borderId="13" xfId="0" applyNumberFormat="1" applyBorder="1"/>
    <xf numFmtId="4" fontId="0" fillId="0" borderId="5" xfId="0" applyNumberFormat="1" applyBorder="1"/>
    <xf numFmtId="166" fontId="0" fillId="0" borderId="0" xfId="0" applyNumberFormat="1"/>
    <xf numFmtId="0" fontId="3" fillId="0" borderId="0" xfId="0" applyFont="1"/>
    <xf numFmtId="10" fontId="0" fillId="2" borderId="7" xfId="0" applyNumberFormat="1" applyFill="1" applyBorder="1"/>
    <xf numFmtId="0" fontId="0" fillId="0" borderId="16" xfId="0" applyBorder="1" applyAlignment="1">
      <alignment horizontal="center"/>
    </xf>
    <xf numFmtId="39" fontId="0" fillId="0" borderId="17" xfId="0" applyNumberFormat="1" applyBorder="1"/>
    <xf numFmtId="0" fontId="0" fillId="0" borderId="18" xfId="0" applyBorder="1"/>
    <xf numFmtId="4" fontId="0" fillId="0" borderId="13" xfId="0" applyNumberFormat="1" applyBorder="1"/>
    <xf numFmtId="9" fontId="0" fillId="0" borderId="0" xfId="0" applyNumberFormat="1"/>
    <xf numFmtId="164" fontId="0" fillId="0" borderId="0" xfId="0" applyNumberFormat="1"/>
    <xf numFmtId="8" fontId="0" fillId="0" borderId="0" xfId="0" applyNumberFormat="1"/>
    <xf numFmtId="0" fontId="1" fillId="0" borderId="0" xfId="0" applyFont="1"/>
    <xf numFmtId="10" fontId="1" fillId="0" borderId="0" xfId="0" applyNumberFormat="1" applyFont="1"/>
    <xf numFmtId="165" fontId="0" fillId="0" borderId="0" xfId="0" applyNumberFormat="1"/>
    <xf numFmtId="0" fontId="1" fillId="0" borderId="0" xfId="2"/>
    <xf numFmtId="49" fontId="0" fillId="0" borderId="0" xfId="0" applyNumberFormat="1"/>
    <xf numFmtId="9" fontId="1" fillId="0" borderId="0" xfId="0" applyNumberFormat="1" applyFont="1"/>
    <xf numFmtId="167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4" fontId="0" fillId="0" borderId="0" xfId="0" applyNumberFormat="1"/>
    <xf numFmtId="169" fontId="0" fillId="0" borderId="0" xfId="0" applyNumberFormat="1"/>
    <xf numFmtId="0" fontId="0" fillId="3" borderId="0" xfId="0" applyFill="1"/>
    <xf numFmtId="168" fontId="0" fillId="3" borderId="0" xfId="0" applyNumberFormat="1" applyFill="1"/>
    <xf numFmtId="170" fontId="0" fillId="0" borderId="0" xfId="0" applyNumberFormat="1"/>
    <xf numFmtId="164" fontId="0" fillId="3" borderId="0" xfId="0" applyNumberFormat="1" applyFill="1"/>
    <xf numFmtId="171" fontId="0" fillId="0" borderId="0" xfId="0" applyNumberFormat="1"/>
    <xf numFmtId="172" fontId="0" fillId="0" borderId="0" xfId="0" applyNumberFormat="1"/>
    <xf numFmtId="0" fontId="1" fillId="0" borderId="6" xfId="0" applyFont="1" applyBorder="1" applyAlignment="1">
      <alignment horizontal="center"/>
    </xf>
    <xf numFmtId="4" fontId="0" fillId="0" borderId="6" xfId="0" applyNumberFormat="1" applyBorder="1"/>
    <xf numFmtId="0" fontId="1" fillId="0" borderId="0" xfId="0" applyFont="1" applyAlignment="1">
      <alignment horizontal="center"/>
    </xf>
    <xf numFmtId="4" fontId="0" fillId="3" borderId="0" xfId="0" applyNumberFormat="1" applyFill="1"/>
    <xf numFmtId="4" fontId="0" fillId="3" borderId="6" xfId="0" applyNumberFormat="1" applyFill="1" applyBorder="1"/>
    <xf numFmtId="0" fontId="8" fillId="0" borderId="0" xfId="3" applyFont="1"/>
    <xf numFmtId="0" fontId="7" fillId="0" borderId="0" xfId="3"/>
    <xf numFmtId="0" fontId="7" fillId="4" borderId="2" xfId="3" applyFill="1" applyBorder="1" applyAlignment="1">
      <alignment horizontal="right"/>
    </xf>
    <xf numFmtId="4" fontId="7" fillId="4" borderId="3" xfId="3" applyNumberFormat="1" applyFill="1" applyBorder="1"/>
    <xf numFmtId="0" fontId="9" fillId="0" borderId="0" xfId="3" applyFont="1"/>
    <xf numFmtId="0" fontId="7" fillId="4" borderId="4" xfId="3" applyFill="1" applyBorder="1" applyAlignment="1">
      <alignment horizontal="right"/>
    </xf>
    <xf numFmtId="0" fontId="7" fillId="4" borderId="5" xfId="3" applyFill="1" applyBorder="1"/>
    <xf numFmtId="0" fontId="7" fillId="4" borderId="8" xfId="3" applyFill="1" applyBorder="1" applyAlignment="1">
      <alignment horizontal="right"/>
    </xf>
    <xf numFmtId="10" fontId="7" fillId="4" borderId="7" xfId="3" applyNumberFormat="1" applyFill="1" applyBorder="1"/>
    <xf numFmtId="0" fontId="10" fillId="0" borderId="0" xfId="3" applyFont="1"/>
    <xf numFmtId="10" fontId="7" fillId="0" borderId="0" xfId="4" applyNumberFormat="1" applyBorder="1" applyProtection="1"/>
    <xf numFmtId="10" fontId="7" fillId="0" borderId="0" xfId="3" applyNumberFormat="1"/>
    <xf numFmtId="0" fontId="7" fillId="0" borderId="1" xfId="3" applyBorder="1" applyAlignment="1">
      <alignment horizontal="center"/>
    </xf>
    <xf numFmtId="0" fontId="7" fillId="0" borderId="9" xfId="3" applyBorder="1" applyAlignment="1">
      <alignment horizontal="right"/>
    </xf>
    <xf numFmtId="0" fontId="7" fillId="0" borderId="10" xfId="3" applyBorder="1" applyAlignment="1">
      <alignment horizontal="right"/>
    </xf>
    <xf numFmtId="0" fontId="7" fillId="0" borderId="11" xfId="3" applyBorder="1" applyAlignment="1">
      <alignment horizontal="right"/>
    </xf>
    <xf numFmtId="0" fontId="7" fillId="0" borderId="12" xfId="3" applyBorder="1" applyAlignment="1">
      <alignment horizontal="center"/>
    </xf>
    <xf numFmtId="0" fontId="7" fillId="0" borderId="13" xfId="3" applyBorder="1"/>
    <xf numFmtId="0" fontId="7" fillId="0" borderId="5" xfId="3" applyBorder="1"/>
    <xf numFmtId="173" fontId="7" fillId="0" borderId="13" xfId="3" applyNumberFormat="1" applyBorder="1"/>
    <xf numFmtId="4" fontId="7" fillId="0" borderId="14" xfId="3" applyNumberFormat="1" applyBorder="1"/>
    <xf numFmtId="174" fontId="7" fillId="0" borderId="13" xfId="3" applyNumberFormat="1" applyBorder="1"/>
    <xf numFmtId="173" fontId="7" fillId="0" borderId="5" xfId="3" applyNumberFormat="1" applyBorder="1"/>
    <xf numFmtId="4" fontId="7" fillId="0" borderId="5" xfId="3" applyNumberFormat="1" applyBorder="1"/>
    <xf numFmtId="4" fontId="7" fillId="0" borderId="13" xfId="3" applyNumberFormat="1" applyBorder="1"/>
    <xf numFmtId="0" fontId="7" fillId="0" borderId="15" xfId="3" applyBorder="1" applyAlignment="1">
      <alignment horizontal="center"/>
    </xf>
    <xf numFmtId="0" fontId="7" fillId="0" borderId="16" xfId="3" applyBorder="1" applyAlignment="1">
      <alignment horizontal="center"/>
    </xf>
    <xf numFmtId="173" fontId="7" fillId="0" borderId="17" xfId="3" applyNumberFormat="1" applyBorder="1"/>
    <xf numFmtId="0" fontId="7" fillId="0" borderId="18" xfId="3" applyBorder="1"/>
    <xf numFmtId="175" fontId="7" fillId="0" borderId="17" xfId="3" applyNumberFormat="1" applyBorder="1"/>
    <xf numFmtId="0" fontId="7" fillId="0" borderId="0" xfId="3" applyAlignment="1">
      <alignment horizontal="right"/>
    </xf>
    <xf numFmtId="176" fontId="7" fillId="0" borderId="0" xfId="3" applyNumberFormat="1"/>
    <xf numFmtId="0" fontId="7" fillId="0" borderId="22" xfId="3" applyBorder="1"/>
    <xf numFmtId="0" fontId="7" fillId="0" borderId="23" xfId="3" applyBorder="1" applyAlignment="1">
      <alignment horizontal="right"/>
    </xf>
    <xf numFmtId="4" fontId="7" fillId="0" borderId="0" xfId="3" applyNumberFormat="1"/>
    <xf numFmtId="0" fontId="7" fillId="0" borderId="22" xfId="3" applyBorder="1" applyAlignment="1">
      <alignment horizontal="right"/>
    </xf>
    <xf numFmtId="0" fontId="7" fillId="0" borderId="24" xfId="3" applyBorder="1"/>
    <xf numFmtId="0" fontId="7" fillId="0" borderId="25" xfId="3" applyBorder="1" applyAlignment="1">
      <alignment horizontal="center"/>
    </xf>
    <xf numFmtId="173" fontId="7" fillId="0" borderId="24" xfId="3" applyNumberFormat="1" applyBorder="1"/>
    <xf numFmtId="173" fontId="7" fillId="0" borderId="7" xfId="3" applyNumberFormat="1" applyBorder="1"/>
    <xf numFmtId="4" fontId="7" fillId="0" borderId="6" xfId="3" applyNumberFormat="1" applyBorder="1"/>
    <xf numFmtId="4" fontId="7" fillId="0" borderId="24" xfId="3" applyNumberFormat="1" applyBorder="1"/>
    <xf numFmtId="174" fontId="7" fillId="0" borderId="24" xfId="3" applyNumberFormat="1" applyBorder="1"/>
    <xf numFmtId="4" fontId="7" fillId="0" borderId="7" xfId="3" applyNumberFormat="1" applyBorder="1"/>
    <xf numFmtId="4" fontId="7" fillId="0" borderId="26" xfId="3" applyNumberFormat="1" applyBorder="1"/>
    <xf numFmtId="0" fontId="1" fillId="0" borderId="0" xfId="3" applyFont="1"/>
    <xf numFmtId="177" fontId="0" fillId="0" borderId="0" xfId="1" applyNumberFormat="1" applyFont="1"/>
    <xf numFmtId="177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9" fontId="7" fillId="0" borderId="0" xfId="3" applyNumberFormat="1"/>
    <xf numFmtId="169" fontId="7" fillId="0" borderId="0" xfId="3" applyNumberFormat="1"/>
    <xf numFmtId="178" fontId="7" fillId="5" borderId="0" xfId="3" applyNumberFormat="1" applyFill="1"/>
    <xf numFmtId="0" fontId="7" fillId="5" borderId="0" xfId="3" applyFill="1"/>
    <xf numFmtId="180" fontId="7" fillId="0" borderId="0" xfId="3" applyNumberFormat="1"/>
    <xf numFmtId="181" fontId="7" fillId="5" borderId="0" xfId="3" applyNumberFormat="1" applyFill="1"/>
    <xf numFmtId="170" fontId="7" fillId="0" borderId="0" xfId="3" applyNumberFormat="1"/>
    <xf numFmtId="9" fontId="7" fillId="0" borderId="0" xfId="3" applyNumberFormat="1"/>
    <xf numFmtId="182" fontId="7" fillId="0" borderId="0" xfId="3" applyNumberFormat="1"/>
    <xf numFmtId="184" fontId="7" fillId="0" borderId="0" xfId="3" applyNumberFormat="1"/>
    <xf numFmtId="0" fontId="7" fillId="3" borderId="0" xfId="3" applyFill="1"/>
    <xf numFmtId="183" fontId="7" fillId="3" borderId="0" xfId="3" applyNumberFormat="1" applyFill="1"/>
    <xf numFmtId="165" fontId="7" fillId="0" borderId="0" xfId="1" applyNumberFormat="1" applyFont="1"/>
    <xf numFmtId="4" fontId="7" fillId="3" borderId="0" xfId="3" applyNumberFormat="1" applyFill="1"/>
    <xf numFmtId="0" fontId="7" fillId="6" borderId="0" xfId="3" applyFill="1"/>
    <xf numFmtId="4" fontId="7" fillId="6" borderId="0" xfId="3" applyNumberFormat="1" applyFill="1"/>
    <xf numFmtId="4" fontId="7" fillId="7" borderId="0" xfId="3" applyNumberFormat="1" applyFill="1"/>
    <xf numFmtId="0" fontId="7" fillId="7" borderId="0" xfId="3" applyFill="1"/>
    <xf numFmtId="185" fontId="7" fillId="0" borderId="0" xfId="3" applyNumberFormat="1"/>
  </cellXfs>
  <cellStyles count="6">
    <cellStyle name="Normal" xfId="0" builtinId="0"/>
    <cellStyle name="Normal 2" xfId="2" xr:uid="{00000000-0005-0000-0000-000001000000}"/>
    <cellStyle name="Normal 3" xfId="3" xr:uid="{1C5B8588-1C3C-4DEF-AE60-010CE2AE23F2}"/>
    <cellStyle name="Porcentagem" xfId="1" builtinId="5"/>
    <cellStyle name="Porcentagem 2" xfId="4" xr:uid="{29F59282-4608-42E1-8017-00473A76ED06}"/>
    <cellStyle name="Vírgula 2" xfId="5" xr:uid="{A321E55A-1819-4EC2-86FA-98066D3BF8B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0.xml"/><Relationship Id="rId18" Type="http://schemas.openxmlformats.org/officeDocument/2006/relationships/worksheet" Target="worksheets/sheet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3.xml"/><Relationship Id="rId17" Type="http://schemas.openxmlformats.org/officeDocument/2006/relationships/worksheet" Target="worksheets/sheet1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2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5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worksheet" Target="worksheets/sheet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Sistema SAC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Amortização!$B$9</c:f>
              <c:strCache>
                <c:ptCount val="1"/>
                <c:pt idx="0">
                  <c:v>Prestação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Amortização!$B$10:$B$130</c:f>
              <c:numCache>
                <c:formatCode>#,##0.00_);\(#,##0.00\)</c:formatCode>
                <c:ptCount val="121"/>
                <c:pt idx="1">
                  <c:v>13333.333333333334</c:v>
                </c:pt>
                <c:pt idx="2">
                  <c:v>13291.666666666668</c:v>
                </c:pt>
                <c:pt idx="3">
                  <c:v>13250</c:v>
                </c:pt>
                <c:pt idx="4">
                  <c:v>13208.333333333332</c:v>
                </c:pt>
                <c:pt idx="5">
                  <c:v>13166.666666666668</c:v>
                </c:pt>
                <c:pt idx="6">
                  <c:v>13125</c:v>
                </c:pt>
                <c:pt idx="7">
                  <c:v>13083.333333333332</c:v>
                </c:pt>
                <c:pt idx="8">
                  <c:v>13041.666666666666</c:v>
                </c:pt>
                <c:pt idx="9">
                  <c:v>13000</c:v>
                </c:pt>
                <c:pt idx="10">
                  <c:v>12958.333333333332</c:v>
                </c:pt>
                <c:pt idx="11">
                  <c:v>12916.666666666664</c:v>
                </c:pt>
                <c:pt idx="12">
                  <c:v>12874.999999999998</c:v>
                </c:pt>
                <c:pt idx="13">
                  <c:v>12833.333333333332</c:v>
                </c:pt>
                <c:pt idx="14">
                  <c:v>12791.666666666664</c:v>
                </c:pt>
                <c:pt idx="15">
                  <c:v>12749.999999999998</c:v>
                </c:pt>
                <c:pt idx="16">
                  <c:v>12708.333333333332</c:v>
                </c:pt>
                <c:pt idx="17">
                  <c:v>12666.666666666664</c:v>
                </c:pt>
                <c:pt idx="18">
                  <c:v>12624.999999999996</c:v>
                </c:pt>
                <c:pt idx="19">
                  <c:v>12583.33333333333</c:v>
                </c:pt>
                <c:pt idx="20">
                  <c:v>12541.666666666664</c:v>
                </c:pt>
                <c:pt idx="21">
                  <c:v>12499.999999999996</c:v>
                </c:pt>
                <c:pt idx="22">
                  <c:v>12458.33333333333</c:v>
                </c:pt>
                <c:pt idx="23">
                  <c:v>12416.666666666662</c:v>
                </c:pt>
                <c:pt idx="24">
                  <c:v>12374.999999999996</c:v>
                </c:pt>
                <c:pt idx="25">
                  <c:v>12333.333333333328</c:v>
                </c:pt>
                <c:pt idx="26">
                  <c:v>12291.666666666662</c:v>
                </c:pt>
                <c:pt idx="27">
                  <c:v>12249.999999999996</c:v>
                </c:pt>
                <c:pt idx="28">
                  <c:v>12208.333333333328</c:v>
                </c:pt>
                <c:pt idx="29">
                  <c:v>12166.666666666662</c:v>
                </c:pt>
                <c:pt idx="30">
                  <c:v>12124.999999999995</c:v>
                </c:pt>
                <c:pt idx="31">
                  <c:v>12083.333333333328</c:v>
                </c:pt>
                <c:pt idx="32">
                  <c:v>12041.666666666661</c:v>
                </c:pt>
                <c:pt idx="33">
                  <c:v>11999.999999999995</c:v>
                </c:pt>
                <c:pt idx="34">
                  <c:v>11958.333333333328</c:v>
                </c:pt>
                <c:pt idx="35">
                  <c:v>11916.666666666661</c:v>
                </c:pt>
                <c:pt idx="36">
                  <c:v>11874.999999999995</c:v>
                </c:pt>
                <c:pt idx="37">
                  <c:v>11833.333333333327</c:v>
                </c:pt>
                <c:pt idx="38">
                  <c:v>11791.666666666661</c:v>
                </c:pt>
                <c:pt idx="39">
                  <c:v>11749.999999999993</c:v>
                </c:pt>
                <c:pt idx="40">
                  <c:v>11708.333333333327</c:v>
                </c:pt>
                <c:pt idx="41">
                  <c:v>11666.666666666661</c:v>
                </c:pt>
                <c:pt idx="42">
                  <c:v>11624.999999999993</c:v>
                </c:pt>
                <c:pt idx="43">
                  <c:v>11583.333333333325</c:v>
                </c:pt>
                <c:pt idx="44">
                  <c:v>11541.666666666659</c:v>
                </c:pt>
                <c:pt idx="45">
                  <c:v>11499.999999999993</c:v>
                </c:pt>
                <c:pt idx="46">
                  <c:v>11458.333333333325</c:v>
                </c:pt>
                <c:pt idx="47">
                  <c:v>11416.666666666659</c:v>
                </c:pt>
                <c:pt idx="48">
                  <c:v>11374.999999999991</c:v>
                </c:pt>
                <c:pt idx="49">
                  <c:v>11333.333333333325</c:v>
                </c:pt>
                <c:pt idx="50">
                  <c:v>11291.666666666657</c:v>
                </c:pt>
                <c:pt idx="51">
                  <c:v>11249.999999999991</c:v>
                </c:pt>
                <c:pt idx="52">
                  <c:v>11208.333333333325</c:v>
                </c:pt>
                <c:pt idx="53">
                  <c:v>11166.666666666657</c:v>
                </c:pt>
                <c:pt idx="54">
                  <c:v>11124.999999999991</c:v>
                </c:pt>
                <c:pt idx="55">
                  <c:v>11083.333333333323</c:v>
                </c:pt>
                <c:pt idx="56">
                  <c:v>11041.666666666657</c:v>
                </c:pt>
                <c:pt idx="57">
                  <c:v>10999.999999999989</c:v>
                </c:pt>
                <c:pt idx="58">
                  <c:v>10958.333333333323</c:v>
                </c:pt>
                <c:pt idx="59">
                  <c:v>10916.666666666657</c:v>
                </c:pt>
                <c:pt idx="60">
                  <c:v>10874.999999999989</c:v>
                </c:pt>
                <c:pt idx="61">
                  <c:v>10833.333333333323</c:v>
                </c:pt>
                <c:pt idx="62">
                  <c:v>10791.666666666657</c:v>
                </c:pt>
                <c:pt idx="63">
                  <c:v>10749.999999999989</c:v>
                </c:pt>
                <c:pt idx="64">
                  <c:v>10708.333333333323</c:v>
                </c:pt>
                <c:pt idx="65">
                  <c:v>10666.666666666657</c:v>
                </c:pt>
                <c:pt idx="66">
                  <c:v>10624.999999999991</c:v>
                </c:pt>
                <c:pt idx="67">
                  <c:v>10583.333333333325</c:v>
                </c:pt>
                <c:pt idx="68">
                  <c:v>10541.666666666657</c:v>
                </c:pt>
                <c:pt idx="69">
                  <c:v>10499.999999999991</c:v>
                </c:pt>
                <c:pt idx="70">
                  <c:v>10458.333333333325</c:v>
                </c:pt>
                <c:pt idx="71">
                  <c:v>10416.666666666657</c:v>
                </c:pt>
                <c:pt idx="72">
                  <c:v>10374.999999999991</c:v>
                </c:pt>
                <c:pt idx="73">
                  <c:v>10333.333333333325</c:v>
                </c:pt>
                <c:pt idx="74">
                  <c:v>10291.666666666657</c:v>
                </c:pt>
                <c:pt idx="75">
                  <c:v>10249.999999999991</c:v>
                </c:pt>
                <c:pt idx="76">
                  <c:v>10208.333333333325</c:v>
                </c:pt>
                <c:pt idx="77">
                  <c:v>10166.666666666659</c:v>
                </c:pt>
                <c:pt idx="78">
                  <c:v>10124.999999999991</c:v>
                </c:pt>
                <c:pt idx="79">
                  <c:v>10083.333333333325</c:v>
                </c:pt>
                <c:pt idx="80">
                  <c:v>10041.666666666659</c:v>
                </c:pt>
                <c:pt idx="81">
                  <c:v>9999.9999999999927</c:v>
                </c:pt>
                <c:pt idx="82">
                  <c:v>9958.3333333333248</c:v>
                </c:pt>
                <c:pt idx="83">
                  <c:v>9916.6666666666588</c:v>
                </c:pt>
                <c:pt idx="84">
                  <c:v>9874.9999999999927</c:v>
                </c:pt>
                <c:pt idx="85">
                  <c:v>9833.3333333333248</c:v>
                </c:pt>
                <c:pt idx="86">
                  <c:v>9791.6666666666588</c:v>
                </c:pt>
                <c:pt idx="87">
                  <c:v>9749.9999999999927</c:v>
                </c:pt>
                <c:pt idx="88">
                  <c:v>9708.3333333333248</c:v>
                </c:pt>
                <c:pt idx="89">
                  <c:v>9666.6666666666588</c:v>
                </c:pt>
                <c:pt idx="90">
                  <c:v>9624.9999999999927</c:v>
                </c:pt>
                <c:pt idx="91">
                  <c:v>9583.3333333333248</c:v>
                </c:pt>
                <c:pt idx="92">
                  <c:v>9541.6666666666588</c:v>
                </c:pt>
                <c:pt idx="93">
                  <c:v>9499.9999999999927</c:v>
                </c:pt>
                <c:pt idx="94">
                  <c:v>9458.3333333333248</c:v>
                </c:pt>
                <c:pt idx="95">
                  <c:v>9416.6666666666588</c:v>
                </c:pt>
                <c:pt idx="96">
                  <c:v>9374.9999999999927</c:v>
                </c:pt>
                <c:pt idx="97">
                  <c:v>9333.3333333333248</c:v>
                </c:pt>
                <c:pt idx="98">
                  <c:v>9291.6666666666588</c:v>
                </c:pt>
                <c:pt idx="99">
                  <c:v>9249.9999999999927</c:v>
                </c:pt>
                <c:pt idx="100">
                  <c:v>9208.3333333333248</c:v>
                </c:pt>
                <c:pt idx="101">
                  <c:v>9166.6666666666588</c:v>
                </c:pt>
                <c:pt idx="102">
                  <c:v>9124.9999999999927</c:v>
                </c:pt>
                <c:pt idx="103">
                  <c:v>9083.3333333333248</c:v>
                </c:pt>
                <c:pt idx="104">
                  <c:v>9041.6666666666588</c:v>
                </c:pt>
                <c:pt idx="105">
                  <c:v>8999.9999999999927</c:v>
                </c:pt>
                <c:pt idx="106">
                  <c:v>8958.3333333333248</c:v>
                </c:pt>
                <c:pt idx="107">
                  <c:v>8916.6666666666588</c:v>
                </c:pt>
                <c:pt idx="108">
                  <c:v>8874.9999999999927</c:v>
                </c:pt>
                <c:pt idx="109">
                  <c:v>8833.3333333333248</c:v>
                </c:pt>
                <c:pt idx="110">
                  <c:v>8791.6666666666588</c:v>
                </c:pt>
                <c:pt idx="111">
                  <c:v>8749.9999999999927</c:v>
                </c:pt>
                <c:pt idx="112">
                  <c:v>8708.3333333333248</c:v>
                </c:pt>
                <c:pt idx="113">
                  <c:v>8666.6666666666588</c:v>
                </c:pt>
                <c:pt idx="114">
                  <c:v>8624.9999999999927</c:v>
                </c:pt>
                <c:pt idx="115">
                  <c:v>8583.3333333333248</c:v>
                </c:pt>
                <c:pt idx="116">
                  <c:v>8541.6666666666588</c:v>
                </c:pt>
                <c:pt idx="117">
                  <c:v>8499.9999999999927</c:v>
                </c:pt>
                <c:pt idx="118">
                  <c:v>8458.3333333333248</c:v>
                </c:pt>
                <c:pt idx="119">
                  <c:v>8416.6666666666588</c:v>
                </c:pt>
                <c:pt idx="120">
                  <c:v>8374.9999999999927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9-4FD2-90E9-E4361029672F}"/>
            </c:ext>
          </c:extLst>
        </c:ser>
        <c:ser>
          <c:idx val="1"/>
          <c:order val="1"/>
          <c:tx>
            <c:strRef>
              <c:f>Amortização!$C$9</c:f>
              <c:strCache>
                <c:ptCount val="1"/>
                <c:pt idx="0">
                  <c:v>Juros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Amortização!$C$10:$C$130</c:f>
              <c:numCache>
                <c:formatCode>#,##0.00_);\(#,##0.00\)</c:formatCode>
                <c:ptCount val="121"/>
                <c:pt idx="1">
                  <c:v>5000</c:v>
                </c:pt>
                <c:pt idx="2">
                  <c:v>4958.333333333333</c:v>
                </c:pt>
                <c:pt idx="3">
                  <c:v>4916.6666666666661</c:v>
                </c:pt>
                <c:pt idx="4">
                  <c:v>4874.9999999999991</c:v>
                </c:pt>
                <c:pt idx="5">
                  <c:v>4833.333333333333</c:v>
                </c:pt>
                <c:pt idx="6">
                  <c:v>4791.6666666666661</c:v>
                </c:pt>
                <c:pt idx="7">
                  <c:v>4749.9999999999991</c:v>
                </c:pt>
                <c:pt idx="8">
                  <c:v>4708.3333333333321</c:v>
                </c:pt>
                <c:pt idx="9">
                  <c:v>4666.6666666666652</c:v>
                </c:pt>
                <c:pt idx="10">
                  <c:v>4624.9999999999982</c:v>
                </c:pt>
                <c:pt idx="11">
                  <c:v>4583.3333333333312</c:v>
                </c:pt>
                <c:pt idx="12">
                  <c:v>4541.6666666666642</c:v>
                </c:pt>
                <c:pt idx="13">
                  <c:v>4499.9999999999982</c:v>
                </c:pt>
                <c:pt idx="14">
                  <c:v>4458.3333333333312</c:v>
                </c:pt>
                <c:pt idx="15">
                  <c:v>4416.6666666666642</c:v>
                </c:pt>
                <c:pt idx="16">
                  <c:v>4374.9999999999973</c:v>
                </c:pt>
                <c:pt idx="17">
                  <c:v>4333.3333333333303</c:v>
                </c:pt>
                <c:pt idx="18">
                  <c:v>4291.6666666666633</c:v>
                </c:pt>
                <c:pt idx="19">
                  <c:v>4249.9999999999964</c:v>
                </c:pt>
                <c:pt idx="20">
                  <c:v>4208.3333333333294</c:v>
                </c:pt>
                <c:pt idx="21">
                  <c:v>4166.6666666666624</c:v>
                </c:pt>
                <c:pt idx="22">
                  <c:v>4124.9999999999964</c:v>
                </c:pt>
                <c:pt idx="23">
                  <c:v>4083.3333333333289</c:v>
                </c:pt>
                <c:pt idx="24">
                  <c:v>4041.6666666666624</c:v>
                </c:pt>
                <c:pt idx="25">
                  <c:v>3999.9999999999955</c:v>
                </c:pt>
                <c:pt idx="26">
                  <c:v>3958.3333333333285</c:v>
                </c:pt>
                <c:pt idx="27">
                  <c:v>3916.6666666666615</c:v>
                </c:pt>
                <c:pt idx="28">
                  <c:v>3874.999999999995</c:v>
                </c:pt>
                <c:pt idx="29">
                  <c:v>3833.333333333328</c:v>
                </c:pt>
                <c:pt idx="30">
                  <c:v>3791.6666666666611</c:v>
                </c:pt>
                <c:pt idx="31">
                  <c:v>3749.9999999999941</c:v>
                </c:pt>
                <c:pt idx="32">
                  <c:v>3708.3333333333276</c:v>
                </c:pt>
                <c:pt idx="33">
                  <c:v>3666.6666666666606</c:v>
                </c:pt>
                <c:pt idx="34">
                  <c:v>3624.9999999999936</c:v>
                </c:pt>
                <c:pt idx="35">
                  <c:v>3583.3333333333267</c:v>
                </c:pt>
                <c:pt idx="36">
                  <c:v>3541.6666666666601</c:v>
                </c:pt>
                <c:pt idx="37">
                  <c:v>3499.9999999999932</c:v>
                </c:pt>
                <c:pt idx="38">
                  <c:v>3458.3333333333262</c:v>
                </c:pt>
                <c:pt idx="39">
                  <c:v>3416.6666666666592</c:v>
                </c:pt>
                <c:pt idx="40">
                  <c:v>3374.9999999999927</c:v>
                </c:pt>
                <c:pt idx="41">
                  <c:v>3333.3333333333258</c:v>
                </c:pt>
                <c:pt idx="42">
                  <c:v>3291.6666666666588</c:v>
                </c:pt>
                <c:pt idx="43">
                  <c:v>3249.9999999999918</c:v>
                </c:pt>
                <c:pt idx="44">
                  <c:v>3208.3333333333248</c:v>
                </c:pt>
                <c:pt idx="45">
                  <c:v>3166.6666666666583</c:v>
                </c:pt>
                <c:pt idx="46">
                  <c:v>3124.9999999999914</c:v>
                </c:pt>
                <c:pt idx="47">
                  <c:v>3083.3333333333244</c:v>
                </c:pt>
                <c:pt idx="48">
                  <c:v>3041.6666666666574</c:v>
                </c:pt>
                <c:pt idx="49">
                  <c:v>2999.9999999999909</c:v>
                </c:pt>
                <c:pt idx="50">
                  <c:v>2958.3333333333239</c:v>
                </c:pt>
                <c:pt idx="51">
                  <c:v>2916.666666666657</c:v>
                </c:pt>
                <c:pt idx="52">
                  <c:v>2874.99999999999</c:v>
                </c:pt>
                <c:pt idx="53">
                  <c:v>2833.3333333333235</c:v>
                </c:pt>
                <c:pt idx="54">
                  <c:v>2791.6666666666565</c:v>
                </c:pt>
                <c:pt idx="55">
                  <c:v>2749.9999999999895</c:v>
                </c:pt>
                <c:pt idx="56">
                  <c:v>2708.3333333333226</c:v>
                </c:pt>
                <c:pt idx="57">
                  <c:v>2666.6666666666561</c:v>
                </c:pt>
                <c:pt idx="58">
                  <c:v>2624.9999999999891</c:v>
                </c:pt>
                <c:pt idx="59">
                  <c:v>2583.3333333333226</c:v>
                </c:pt>
                <c:pt idx="60">
                  <c:v>2541.6666666666561</c:v>
                </c:pt>
                <c:pt idx="61">
                  <c:v>2499.9999999999891</c:v>
                </c:pt>
                <c:pt idx="62">
                  <c:v>2458.3333333333226</c:v>
                </c:pt>
                <c:pt idx="63">
                  <c:v>2416.6666666666561</c:v>
                </c:pt>
                <c:pt idx="64">
                  <c:v>2374.9999999999895</c:v>
                </c:pt>
                <c:pt idx="65">
                  <c:v>2333.333333333323</c:v>
                </c:pt>
                <c:pt idx="66">
                  <c:v>2291.6666666666565</c:v>
                </c:pt>
                <c:pt idx="67">
                  <c:v>2249.99999999999</c:v>
                </c:pt>
                <c:pt idx="68">
                  <c:v>2208.3333333333235</c:v>
                </c:pt>
                <c:pt idx="69">
                  <c:v>2166.6666666666565</c:v>
                </c:pt>
                <c:pt idx="70">
                  <c:v>2124.99999999999</c:v>
                </c:pt>
                <c:pt idx="71">
                  <c:v>2083.3333333333235</c:v>
                </c:pt>
                <c:pt idx="72">
                  <c:v>2041.666666666657</c:v>
                </c:pt>
                <c:pt idx="73">
                  <c:v>1999.9999999999905</c:v>
                </c:pt>
                <c:pt idx="74">
                  <c:v>1958.3333333333239</c:v>
                </c:pt>
                <c:pt idx="75">
                  <c:v>1916.6666666666572</c:v>
                </c:pt>
                <c:pt idx="76">
                  <c:v>1874.9999999999907</c:v>
                </c:pt>
                <c:pt idx="77">
                  <c:v>1833.3333333333242</c:v>
                </c:pt>
                <c:pt idx="78">
                  <c:v>1791.6666666666576</c:v>
                </c:pt>
                <c:pt idx="79">
                  <c:v>1749.9999999999909</c:v>
                </c:pt>
                <c:pt idx="80">
                  <c:v>1708.3333333333244</c:v>
                </c:pt>
                <c:pt idx="81">
                  <c:v>1666.6666666666579</c:v>
                </c:pt>
                <c:pt idx="82">
                  <c:v>1624.9999999999914</c:v>
                </c:pt>
                <c:pt idx="83">
                  <c:v>1583.3333333333248</c:v>
                </c:pt>
                <c:pt idx="84">
                  <c:v>1541.6666666666581</c:v>
                </c:pt>
                <c:pt idx="85">
                  <c:v>1499.9999999999916</c:v>
                </c:pt>
                <c:pt idx="86">
                  <c:v>1458.3333333333251</c:v>
                </c:pt>
                <c:pt idx="87">
                  <c:v>1416.6666666666586</c:v>
                </c:pt>
                <c:pt idx="88">
                  <c:v>1374.9999999999918</c:v>
                </c:pt>
                <c:pt idx="89">
                  <c:v>1333.3333333333253</c:v>
                </c:pt>
                <c:pt idx="90">
                  <c:v>1291.6666666666586</c:v>
                </c:pt>
                <c:pt idx="91">
                  <c:v>1249.9999999999918</c:v>
                </c:pt>
                <c:pt idx="92">
                  <c:v>1208.3333333333251</c:v>
                </c:pt>
                <c:pt idx="93">
                  <c:v>1166.6666666666586</c:v>
                </c:pt>
                <c:pt idx="94">
                  <c:v>1124.9999999999918</c:v>
                </c:pt>
                <c:pt idx="95">
                  <c:v>1083.3333333333251</c:v>
                </c:pt>
                <c:pt idx="96">
                  <c:v>1041.6666666666583</c:v>
                </c:pt>
                <c:pt idx="97">
                  <c:v>999.99999999999159</c:v>
                </c:pt>
                <c:pt idx="98">
                  <c:v>958.33333333332484</c:v>
                </c:pt>
                <c:pt idx="99">
                  <c:v>916.6666666666581</c:v>
                </c:pt>
                <c:pt idx="100">
                  <c:v>874.99999999999147</c:v>
                </c:pt>
                <c:pt idx="101">
                  <c:v>833.33333333332473</c:v>
                </c:pt>
                <c:pt idx="102">
                  <c:v>791.66666666665799</c:v>
                </c:pt>
                <c:pt idx="103">
                  <c:v>749.99999999999125</c:v>
                </c:pt>
                <c:pt idx="104">
                  <c:v>708.33333333332462</c:v>
                </c:pt>
                <c:pt idx="105">
                  <c:v>666.66666666665787</c:v>
                </c:pt>
                <c:pt idx="106">
                  <c:v>624.99999999999125</c:v>
                </c:pt>
                <c:pt idx="107">
                  <c:v>583.33333333332462</c:v>
                </c:pt>
                <c:pt idx="108">
                  <c:v>541.66666666665787</c:v>
                </c:pt>
                <c:pt idx="109">
                  <c:v>499.9999999999913</c:v>
                </c:pt>
                <c:pt idx="110">
                  <c:v>458.33333333332462</c:v>
                </c:pt>
                <c:pt idx="111">
                  <c:v>416.66666666665799</c:v>
                </c:pt>
                <c:pt idx="112">
                  <c:v>374.99999999999136</c:v>
                </c:pt>
                <c:pt idx="113">
                  <c:v>333.33333333332473</c:v>
                </c:pt>
                <c:pt idx="114">
                  <c:v>291.66666666665805</c:v>
                </c:pt>
                <c:pt idx="115">
                  <c:v>249.99999999999136</c:v>
                </c:pt>
                <c:pt idx="116">
                  <c:v>208.33333333332467</c:v>
                </c:pt>
                <c:pt idx="117">
                  <c:v>166.66666666665799</c:v>
                </c:pt>
                <c:pt idx="118">
                  <c:v>124.9999999999913</c:v>
                </c:pt>
                <c:pt idx="119">
                  <c:v>83.333333333324632</c:v>
                </c:pt>
                <c:pt idx="120">
                  <c:v>41.66666666665796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9-4FD2-90E9-E4361029672F}"/>
            </c:ext>
          </c:extLst>
        </c:ser>
        <c:ser>
          <c:idx val="2"/>
          <c:order val="2"/>
          <c:tx>
            <c:strRef>
              <c:f>Amortização!$D$9</c:f>
              <c:strCache>
                <c:ptCount val="1"/>
                <c:pt idx="0">
                  <c:v>Amortização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Amortização!$D$10:$D$130</c:f>
              <c:numCache>
                <c:formatCode>#,##0.00_);\(#,##0.00\)</c:formatCode>
                <c:ptCount val="121"/>
                <c:pt idx="1">
                  <c:v>8333.3333333333339</c:v>
                </c:pt>
                <c:pt idx="2">
                  <c:v>8333.3333333333339</c:v>
                </c:pt>
                <c:pt idx="3">
                  <c:v>8333.3333333333339</c:v>
                </c:pt>
                <c:pt idx="4">
                  <c:v>8333.3333333333339</c:v>
                </c:pt>
                <c:pt idx="5">
                  <c:v>8333.3333333333339</c:v>
                </c:pt>
                <c:pt idx="6">
                  <c:v>8333.3333333333339</c:v>
                </c:pt>
                <c:pt idx="7">
                  <c:v>8333.3333333333339</c:v>
                </c:pt>
                <c:pt idx="8">
                  <c:v>8333.3333333333339</c:v>
                </c:pt>
                <c:pt idx="9">
                  <c:v>8333.3333333333339</c:v>
                </c:pt>
                <c:pt idx="10">
                  <c:v>8333.3333333333339</c:v>
                </c:pt>
                <c:pt idx="11">
                  <c:v>8333.3333333333339</c:v>
                </c:pt>
                <c:pt idx="12">
                  <c:v>8333.3333333333339</c:v>
                </c:pt>
                <c:pt idx="13">
                  <c:v>8333.3333333333339</c:v>
                </c:pt>
                <c:pt idx="14">
                  <c:v>8333.3333333333339</c:v>
                </c:pt>
                <c:pt idx="15">
                  <c:v>8333.3333333333339</c:v>
                </c:pt>
                <c:pt idx="16">
                  <c:v>8333.3333333333339</c:v>
                </c:pt>
                <c:pt idx="17">
                  <c:v>8333.3333333333339</c:v>
                </c:pt>
                <c:pt idx="18">
                  <c:v>8333.3333333333339</c:v>
                </c:pt>
                <c:pt idx="19">
                  <c:v>8333.3333333333339</c:v>
                </c:pt>
                <c:pt idx="20">
                  <c:v>8333.3333333333339</c:v>
                </c:pt>
                <c:pt idx="21">
                  <c:v>8333.3333333333339</c:v>
                </c:pt>
                <c:pt idx="22">
                  <c:v>8333.3333333333339</c:v>
                </c:pt>
                <c:pt idx="23">
                  <c:v>8333.3333333333339</c:v>
                </c:pt>
                <c:pt idx="24">
                  <c:v>8333.3333333333339</c:v>
                </c:pt>
                <c:pt idx="25">
                  <c:v>8333.3333333333339</c:v>
                </c:pt>
                <c:pt idx="26">
                  <c:v>8333.3333333333339</c:v>
                </c:pt>
                <c:pt idx="27">
                  <c:v>8333.3333333333339</c:v>
                </c:pt>
                <c:pt idx="28">
                  <c:v>8333.3333333333339</c:v>
                </c:pt>
                <c:pt idx="29">
                  <c:v>8333.3333333333339</c:v>
                </c:pt>
                <c:pt idx="30">
                  <c:v>8333.3333333333339</c:v>
                </c:pt>
                <c:pt idx="31">
                  <c:v>8333.3333333333339</c:v>
                </c:pt>
                <c:pt idx="32">
                  <c:v>8333.3333333333339</c:v>
                </c:pt>
                <c:pt idx="33">
                  <c:v>8333.3333333333339</c:v>
                </c:pt>
                <c:pt idx="34">
                  <c:v>8333.3333333333339</c:v>
                </c:pt>
                <c:pt idx="35">
                  <c:v>8333.3333333333339</c:v>
                </c:pt>
                <c:pt idx="36">
                  <c:v>8333.3333333333339</c:v>
                </c:pt>
                <c:pt idx="37">
                  <c:v>8333.3333333333339</c:v>
                </c:pt>
                <c:pt idx="38">
                  <c:v>8333.3333333333339</c:v>
                </c:pt>
                <c:pt idx="39">
                  <c:v>8333.3333333333339</c:v>
                </c:pt>
                <c:pt idx="40">
                  <c:v>8333.3333333333339</c:v>
                </c:pt>
                <c:pt idx="41">
                  <c:v>8333.3333333333339</c:v>
                </c:pt>
                <c:pt idx="42">
                  <c:v>8333.3333333333339</c:v>
                </c:pt>
                <c:pt idx="43">
                  <c:v>8333.3333333333339</c:v>
                </c:pt>
                <c:pt idx="44">
                  <c:v>8333.3333333333339</c:v>
                </c:pt>
                <c:pt idx="45">
                  <c:v>8333.3333333333339</c:v>
                </c:pt>
                <c:pt idx="46">
                  <c:v>8333.3333333333339</c:v>
                </c:pt>
                <c:pt idx="47">
                  <c:v>8333.3333333333339</c:v>
                </c:pt>
                <c:pt idx="48">
                  <c:v>8333.3333333333339</c:v>
                </c:pt>
                <c:pt idx="49">
                  <c:v>8333.3333333333339</c:v>
                </c:pt>
                <c:pt idx="50">
                  <c:v>8333.3333333333339</c:v>
                </c:pt>
                <c:pt idx="51">
                  <c:v>8333.3333333333339</c:v>
                </c:pt>
                <c:pt idx="52">
                  <c:v>8333.3333333333339</c:v>
                </c:pt>
                <c:pt idx="53">
                  <c:v>8333.3333333333339</c:v>
                </c:pt>
                <c:pt idx="54">
                  <c:v>8333.3333333333339</c:v>
                </c:pt>
                <c:pt idx="55">
                  <c:v>8333.3333333333339</c:v>
                </c:pt>
                <c:pt idx="56">
                  <c:v>8333.3333333333339</c:v>
                </c:pt>
                <c:pt idx="57">
                  <c:v>8333.3333333333339</c:v>
                </c:pt>
                <c:pt idx="58">
                  <c:v>8333.3333333333339</c:v>
                </c:pt>
                <c:pt idx="59">
                  <c:v>8333.3333333333339</c:v>
                </c:pt>
                <c:pt idx="60">
                  <c:v>8333.3333333333339</c:v>
                </c:pt>
                <c:pt idx="61">
                  <c:v>8333.3333333333339</c:v>
                </c:pt>
                <c:pt idx="62">
                  <c:v>8333.3333333333339</c:v>
                </c:pt>
                <c:pt idx="63">
                  <c:v>8333.3333333333339</c:v>
                </c:pt>
                <c:pt idx="64">
                  <c:v>8333.3333333333339</c:v>
                </c:pt>
                <c:pt idx="65">
                  <c:v>8333.3333333333339</c:v>
                </c:pt>
                <c:pt idx="66">
                  <c:v>8333.3333333333339</c:v>
                </c:pt>
                <c:pt idx="67">
                  <c:v>8333.3333333333339</c:v>
                </c:pt>
                <c:pt idx="68">
                  <c:v>8333.3333333333339</c:v>
                </c:pt>
                <c:pt idx="69">
                  <c:v>8333.3333333333339</c:v>
                </c:pt>
                <c:pt idx="70">
                  <c:v>8333.3333333333339</c:v>
                </c:pt>
                <c:pt idx="71">
                  <c:v>8333.3333333333339</c:v>
                </c:pt>
                <c:pt idx="72">
                  <c:v>8333.3333333333339</c:v>
                </c:pt>
                <c:pt idx="73">
                  <c:v>8333.3333333333339</c:v>
                </c:pt>
                <c:pt idx="74">
                  <c:v>8333.3333333333339</c:v>
                </c:pt>
                <c:pt idx="75">
                  <c:v>8333.3333333333339</c:v>
                </c:pt>
                <c:pt idx="76">
                  <c:v>8333.3333333333339</c:v>
                </c:pt>
                <c:pt idx="77">
                  <c:v>8333.3333333333339</c:v>
                </c:pt>
                <c:pt idx="78">
                  <c:v>8333.3333333333339</c:v>
                </c:pt>
                <c:pt idx="79">
                  <c:v>8333.3333333333339</c:v>
                </c:pt>
                <c:pt idx="80">
                  <c:v>8333.3333333333339</c:v>
                </c:pt>
                <c:pt idx="81">
                  <c:v>8333.3333333333339</c:v>
                </c:pt>
                <c:pt idx="82">
                  <c:v>8333.3333333333339</c:v>
                </c:pt>
                <c:pt idx="83">
                  <c:v>8333.3333333333339</c:v>
                </c:pt>
                <c:pt idx="84">
                  <c:v>8333.3333333333339</c:v>
                </c:pt>
                <c:pt idx="85">
                  <c:v>8333.3333333333339</c:v>
                </c:pt>
                <c:pt idx="86">
                  <c:v>8333.3333333333339</c:v>
                </c:pt>
                <c:pt idx="87">
                  <c:v>8333.3333333333339</c:v>
                </c:pt>
                <c:pt idx="88">
                  <c:v>8333.3333333333339</c:v>
                </c:pt>
                <c:pt idx="89">
                  <c:v>8333.3333333333339</c:v>
                </c:pt>
                <c:pt idx="90">
                  <c:v>8333.3333333333339</c:v>
                </c:pt>
                <c:pt idx="91">
                  <c:v>8333.3333333333339</c:v>
                </c:pt>
                <c:pt idx="92">
                  <c:v>8333.3333333333339</c:v>
                </c:pt>
                <c:pt idx="93">
                  <c:v>8333.3333333333339</c:v>
                </c:pt>
                <c:pt idx="94">
                  <c:v>8333.3333333333339</c:v>
                </c:pt>
                <c:pt idx="95">
                  <c:v>8333.3333333333339</c:v>
                </c:pt>
                <c:pt idx="96">
                  <c:v>8333.3333333333339</c:v>
                </c:pt>
                <c:pt idx="97">
                  <c:v>8333.3333333333339</c:v>
                </c:pt>
                <c:pt idx="98">
                  <c:v>8333.3333333333339</c:v>
                </c:pt>
                <c:pt idx="99">
                  <c:v>8333.3333333333339</c:v>
                </c:pt>
                <c:pt idx="100">
                  <c:v>8333.3333333333339</c:v>
                </c:pt>
                <c:pt idx="101">
                  <c:v>8333.3333333333339</c:v>
                </c:pt>
                <c:pt idx="102">
                  <c:v>8333.3333333333339</c:v>
                </c:pt>
                <c:pt idx="103">
                  <c:v>8333.3333333333339</c:v>
                </c:pt>
                <c:pt idx="104">
                  <c:v>8333.3333333333339</c:v>
                </c:pt>
                <c:pt idx="105">
                  <c:v>8333.3333333333339</c:v>
                </c:pt>
                <c:pt idx="106">
                  <c:v>8333.3333333333339</c:v>
                </c:pt>
                <c:pt idx="107">
                  <c:v>8333.3333333333339</c:v>
                </c:pt>
                <c:pt idx="108">
                  <c:v>8333.3333333333339</c:v>
                </c:pt>
                <c:pt idx="109">
                  <c:v>8333.3333333333339</c:v>
                </c:pt>
                <c:pt idx="110">
                  <c:v>8333.3333333333339</c:v>
                </c:pt>
                <c:pt idx="111">
                  <c:v>8333.3333333333339</c:v>
                </c:pt>
                <c:pt idx="112">
                  <c:v>8333.3333333333339</c:v>
                </c:pt>
                <c:pt idx="113">
                  <c:v>8333.3333333333339</c:v>
                </c:pt>
                <c:pt idx="114">
                  <c:v>8333.3333333333339</c:v>
                </c:pt>
                <c:pt idx="115">
                  <c:v>8333.3333333333339</c:v>
                </c:pt>
                <c:pt idx="116">
                  <c:v>8333.3333333333339</c:v>
                </c:pt>
                <c:pt idx="117">
                  <c:v>8333.3333333333339</c:v>
                </c:pt>
                <c:pt idx="118">
                  <c:v>8333.3333333333339</c:v>
                </c:pt>
                <c:pt idx="119">
                  <c:v>8333.3333333333339</c:v>
                </c:pt>
                <c:pt idx="120">
                  <c:v>8333.3333333333339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9-4FD2-90E9-E4361029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360288"/>
        <c:axId val="1657732848"/>
      </c:lineChart>
      <c:catAx>
        <c:axId val="16523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7732848"/>
        <c:crosses val="autoZero"/>
        <c:auto val="1"/>
        <c:lblAlgn val="ctr"/>
        <c:lblOffset val="100"/>
        <c:noMultiLvlLbl val="0"/>
      </c:catAx>
      <c:valAx>
        <c:axId val="16577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236028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57609286322931241"/>
          <c:y val="0.10631492317394957"/>
          <c:w val="0.39054667925892389"/>
          <c:h val="4.53900959350342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Sistema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Amortização!$B$9</c:f>
              <c:strCache>
                <c:ptCount val="1"/>
                <c:pt idx="0">
                  <c:v>Prestação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Amortização!$I$10:$I$130</c:f>
              <c:numCache>
                <c:formatCode>#,##0.00_);[Red]\(#,##0.00\)</c:formatCode>
                <c:ptCount val="121"/>
                <c:pt idx="1">
                  <c:v>11102.050194164944</c:v>
                </c:pt>
                <c:pt idx="2">
                  <c:v>11102.050194164944</c:v>
                </c:pt>
                <c:pt idx="3">
                  <c:v>11102.050194164944</c:v>
                </c:pt>
                <c:pt idx="4">
                  <c:v>11102.050194164944</c:v>
                </c:pt>
                <c:pt idx="5">
                  <c:v>11102.050194164944</c:v>
                </c:pt>
                <c:pt idx="6">
                  <c:v>11102.050194164944</c:v>
                </c:pt>
                <c:pt idx="7">
                  <c:v>11102.050194164944</c:v>
                </c:pt>
                <c:pt idx="8">
                  <c:v>11102.050194164944</c:v>
                </c:pt>
                <c:pt idx="9">
                  <c:v>11102.050194164944</c:v>
                </c:pt>
                <c:pt idx="10">
                  <c:v>11102.050194164944</c:v>
                </c:pt>
                <c:pt idx="11">
                  <c:v>11102.050194164944</c:v>
                </c:pt>
                <c:pt idx="12">
                  <c:v>11102.050194164944</c:v>
                </c:pt>
                <c:pt idx="13">
                  <c:v>11102.050194164944</c:v>
                </c:pt>
                <c:pt idx="14">
                  <c:v>11102.050194164944</c:v>
                </c:pt>
                <c:pt idx="15">
                  <c:v>11102.050194164944</c:v>
                </c:pt>
                <c:pt idx="16">
                  <c:v>11102.050194164944</c:v>
                </c:pt>
                <c:pt idx="17">
                  <c:v>11102.050194164944</c:v>
                </c:pt>
                <c:pt idx="18">
                  <c:v>11102.050194164944</c:v>
                </c:pt>
                <c:pt idx="19">
                  <c:v>11102.050194164944</c:v>
                </c:pt>
                <c:pt idx="20">
                  <c:v>11102.050194164944</c:v>
                </c:pt>
                <c:pt idx="21">
                  <c:v>11102.050194164944</c:v>
                </c:pt>
                <c:pt idx="22">
                  <c:v>11102.050194164944</c:v>
                </c:pt>
                <c:pt idx="23">
                  <c:v>11102.050194164944</c:v>
                </c:pt>
                <c:pt idx="24">
                  <c:v>11102.050194164944</c:v>
                </c:pt>
                <c:pt idx="25">
                  <c:v>11102.050194164944</c:v>
                </c:pt>
                <c:pt idx="26">
                  <c:v>11102.050194164944</c:v>
                </c:pt>
                <c:pt idx="27">
                  <c:v>11102.050194164944</c:v>
                </c:pt>
                <c:pt idx="28">
                  <c:v>11102.050194164944</c:v>
                </c:pt>
                <c:pt idx="29">
                  <c:v>11102.050194164944</c:v>
                </c:pt>
                <c:pt idx="30">
                  <c:v>11102.050194164944</c:v>
                </c:pt>
                <c:pt idx="31">
                  <c:v>11102.050194164944</c:v>
                </c:pt>
                <c:pt idx="32">
                  <c:v>11102.050194164944</c:v>
                </c:pt>
                <c:pt idx="33">
                  <c:v>11102.050194164944</c:v>
                </c:pt>
                <c:pt idx="34">
                  <c:v>11102.050194164944</c:v>
                </c:pt>
                <c:pt idx="35">
                  <c:v>11102.050194164944</c:v>
                </c:pt>
                <c:pt idx="36">
                  <c:v>11102.050194164944</c:v>
                </c:pt>
                <c:pt idx="37">
                  <c:v>11102.050194164944</c:v>
                </c:pt>
                <c:pt idx="38">
                  <c:v>11102.050194164944</c:v>
                </c:pt>
                <c:pt idx="39">
                  <c:v>11102.050194164944</c:v>
                </c:pt>
                <c:pt idx="40">
                  <c:v>11102.050194164944</c:v>
                </c:pt>
                <c:pt idx="41">
                  <c:v>11102.050194164944</c:v>
                </c:pt>
                <c:pt idx="42">
                  <c:v>11102.050194164944</c:v>
                </c:pt>
                <c:pt idx="43">
                  <c:v>11102.050194164944</c:v>
                </c:pt>
                <c:pt idx="44">
                  <c:v>11102.050194164944</c:v>
                </c:pt>
                <c:pt idx="45">
                  <c:v>11102.050194164944</c:v>
                </c:pt>
                <c:pt idx="46">
                  <c:v>11102.050194164944</c:v>
                </c:pt>
                <c:pt idx="47">
                  <c:v>11102.050194164944</c:v>
                </c:pt>
                <c:pt idx="48">
                  <c:v>11102.050194164944</c:v>
                </c:pt>
                <c:pt idx="49">
                  <c:v>11102.050194164944</c:v>
                </c:pt>
                <c:pt idx="50">
                  <c:v>11102.050194164944</c:v>
                </c:pt>
                <c:pt idx="51">
                  <c:v>11102.050194164944</c:v>
                </c:pt>
                <c:pt idx="52">
                  <c:v>11102.050194164944</c:v>
                </c:pt>
                <c:pt idx="53">
                  <c:v>11102.050194164944</c:v>
                </c:pt>
                <c:pt idx="54">
                  <c:v>11102.050194164944</c:v>
                </c:pt>
                <c:pt idx="55">
                  <c:v>11102.050194164944</c:v>
                </c:pt>
                <c:pt idx="56">
                  <c:v>11102.050194164944</c:v>
                </c:pt>
                <c:pt idx="57">
                  <c:v>11102.050194164944</c:v>
                </c:pt>
                <c:pt idx="58">
                  <c:v>11102.050194164944</c:v>
                </c:pt>
                <c:pt idx="59">
                  <c:v>11102.050194164944</c:v>
                </c:pt>
                <c:pt idx="60">
                  <c:v>11102.050194164944</c:v>
                </c:pt>
                <c:pt idx="61">
                  <c:v>11102.050194164944</c:v>
                </c:pt>
                <c:pt idx="62">
                  <c:v>11102.050194164944</c:v>
                </c:pt>
                <c:pt idx="63">
                  <c:v>11102.050194164944</c:v>
                </c:pt>
                <c:pt idx="64">
                  <c:v>11102.050194164944</c:v>
                </c:pt>
                <c:pt idx="65">
                  <c:v>11102.050194164944</c:v>
                </c:pt>
                <c:pt idx="66">
                  <c:v>11102.050194164944</c:v>
                </c:pt>
                <c:pt idx="67">
                  <c:v>11102.050194164944</c:v>
                </c:pt>
                <c:pt idx="68">
                  <c:v>11102.050194164944</c:v>
                </c:pt>
                <c:pt idx="69">
                  <c:v>11102.050194164944</c:v>
                </c:pt>
                <c:pt idx="70">
                  <c:v>11102.050194164944</c:v>
                </c:pt>
                <c:pt idx="71">
                  <c:v>11102.050194164944</c:v>
                </c:pt>
                <c:pt idx="72">
                  <c:v>11102.050194164944</c:v>
                </c:pt>
                <c:pt idx="73">
                  <c:v>11102.050194164944</c:v>
                </c:pt>
                <c:pt idx="74">
                  <c:v>11102.050194164944</c:v>
                </c:pt>
                <c:pt idx="75">
                  <c:v>11102.050194164944</c:v>
                </c:pt>
                <c:pt idx="76">
                  <c:v>11102.050194164944</c:v>
                </c:pt>
                <c:pt idx="77">
                  <c:v>11102.050194164944</c:v>
                </c:pt>
                <c:pt idx="78">
                  <c:v>11102.050194164944</c:v>
                </c:pt>
                <c:pt idx="79">
                  <c:v>11102.050194164944</c:v>
                </c:pt>
                <c:pt idx="80">
                  <c:v>11102.050194164944</c:v>
                </c:pt>
                <c:pt idx="81">
                  <c:v>11102.050194164944</c:v>
                </c:pt>
                <c:pt idx="82">
                  <c:v>11102.050194164944</c:v>
                </c:pt>
                <c:pt idx="83">
                  <c:v>11102.050194164944</c:v>
                </c:pt>
                <c:pt idx="84">
                  <c:v>11102.050194164944</c:v>
                </c:pt>
                <c:pt idx="85">
                  <c:v>11102.050194164944</c:v>
                </c:pt>
                <c:pt idx="86">
                  <c:v>11102.050194164944</c:v>
                </c:pt>
                <c:pt idx="87">
                  <c:v>11102.050194164944</c:v>
                </c:pt>
                <c:pt idx="88">
                  <c:v>11102.050194164944</c:v>
                </c:pt>
                <c:pt idx="89">
                  <c:v>11102.050194164944</c:v>
                </c:pt>
                <c:pt idx="90">
                  <c:v>11102.050194164944</c:v>
                </c:pt>
                <c:pt idx="91">
                  <c:v>11102.050194164944</c:v>
                </c:pt>
                <c:pt idx="92">
                  <c:v>11102.050194164944</c:v>
                </c:pt>
                <c:pt idx="93">
                  <c:v>11102.050194164944</c:v>
                </c:pt>
                <c:pt idx="94">
                  <c:v>11102.050194164944</c:v>
                </c:pt>
                <c:pt idx="95">
                  <c:v>11102.050194164944</c:v>
                </c:pt>
                <c:pt idx="96">
                  <c:v>11102.050194164944</c:v>
                </c:pt>
                <c:pt idx="97">
                  <c:v>11102.050194164944</c:v>
                </c:pt>
                <c:pt idx="98">
                  <c:v>11102.050194164944</c:v>
                </c:pt>
                <c:pt idx="99">
                  <c:v>11102.050194164944</c:v>
                </c:pt>
                <c:pt idx="100">
                  <c:v>11102.050194164944</c:v>
                </c:pt>
                <c:pt idx="101">
                  <c:v>11102.050194164944</c:v>
                </c:pt>
                <c:pt idx="102">
                  <c:v>11102.050194164944</c:v>
                </c:pt>
                <c:pt idx="103">
                  <c:v>11102.050194164944</c:v>
                </c:pt>
                <c:pt idx="104">
                  <c:v>11102.050194164944</c:v>
                </c:pt>
                <c:pt idx="105">
                  <c:v>11102.050194164944</c:v>
                </c:pt>
                <c:pt idx="106">
                  <c:v>11102.050194164944</c:v>
                </c:pt>
                <c:pt idx="107">
                  <c:v>11102.050194164944</c:v>
                </c:pt>
                <c:pt idx="108">
                  <c:v>11102.050194164944</c:v>
                </c:pt>
                <c:pt idx="109">
                  <c:v>11102.050194164944</c:v>
                </c:pt>
                <c:pt idx="110">
                  <c:v>11102.050194164944</c:v>
                </c:pt>
                <c:pt idx="111">
                  <c:v>11102.050194164944</c:v>
                </c:pt>
                <c:pt idx="112">
                  <c:v>11102.050194164944</c:v>
                </c:pt>
                <c:pt idx="113">
                  <c:v>11102.050194164944</c:v>
                </c:pt>
                <c:pt idx="114">
                  <c:v>11102.050194164944</c:v>
                </c:pt>
                <c:pt idx="115">
                  <c:v>11102.050194164944</c:v>
                </c:pt>
                <c:pt idx="116">
                  <c:v>11102.050194164944</c:v>
                </c:pt>
                <c:pt idx="117">
                  <c:v>11102.050194164944</c:v>
                </c:pt>
                <c:pt idx="118">
                  <c:v>11102.050194164944</c:v>
                </c:pt>
                <c:pt idx="119">
                  <c:v>11102.050194164944</c:v>
                </c:pt>
                <c:pt idx="120">
                  <c:v>11102.050194164944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92-8A71-882118E1061E}"/>
            </c:ext>
          </c:extLst>
        </c:ser>
        <c:ser>
          <c:idx val="1"/>
          <c:order val="1"/>
          <c:tx>
            <c:strRef>
              <c:f>Amortização!$C$9</c:f>
              <c:strCache>
                <c:ptCount val="1"/>
                <c:pt idx="0">
                  <c:v>Juros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Amortização!$J$10:$J$130</c:f>
              <c:numCache>
                <c:formatCode>#,##0.00</c:formatCode>
                <c:ptCount val="121"/>
                <c:pt idx="1">
                  <c:v>5000</c:v>
                </c:pt>
                <c:pt idx="2">
                  <c:v>4969.4897490291751</c:v>
                </c:pt>
                <c:pt idx="3">
                  <c:v>4938.826946803496</c:v>
                </c:pt>
                <c:pt idx="4">
                  <c:v>4908.010830566689</c:v>
                </c:pt>
                <c:pt idx="5">
                  <c:v>4877.0406337486975</c:v>
                </c:pt>
                <c:pt idx="6">
                  <c:v>4845.9155859466164</c:v>
                </c:pt>
                <c:pt idx="7">
                  <c:v>4814.6349129055252</c:v>
                </c:pt>
                <c:pt idx="8">
                  <c:v>4783.1978364992274</c:v>
                </c:pt>
                <c:pt idx="9">
                  <c:v>4751.603574710899</c:v>
                </c:pt>
                <c:pt idx="10">
                  <c:v>4719.8513416136293</c:v>
                </c:pt>
                <c:pt idx="11">
                  <c:v>4687.9403473508728</c:v>
                </c:pt>
                <c:pt idx="12">
                  <c:v>4655.8697981168025</c:v>
                </c:pt>
                <c:pt idx="13">
                  <c:v>4623.6388961365619</c:v>
                </c:pt>
                <c:pt idx="14">
                  <c:v>4591.2468396464192</c:v>
                </c:pt>
                <c:pt idx="15">
                  <c:v>4558.692822873827</c:v>
                </c:pt>
                <c:pt idx="16">
                  <c:v>4525.9760360173714</c:v>
                </c:pt>
                <c:pt idx="17">
                  <c:v>4493.0956652266332</c:v>
                </c:pt>
                <c:pt idx="18">
                  <c:v>4460.0508925819422</c:v>
                </c:pt>
                <c:pt idx="19">
                  <c:v>4426.8408960740271</c:v>
                </c:pt>
                <c:pt idx="20">
                  <c:v>4393.4648495835727</c:v>
                </c:pt>
                <c:pt idx="21">
                  <c:v>4359.9219228606653</c:v>
                </c:pt>
                <c:pt idx="22">
                  <c:v>4326.2112815041437</c:v>
                </c:pt>
                <c:pt idx="23">
                  <c:v>4292.3320869408399</c:v>
                </c:pt>
                <c:pt idx="24">
                  <c:v>4258.2834964047197</c:v>
                </c:pt>
                <c:pt idx="25">
                  <c:v>4224.0646629159182</c:v>
                </c:pt>
                <c:pt idx="26">
                  <c:v>4189.6747352596731</c:v>
                </c:pt>
                <c:pt idx="27">
                  <c:v>4155.1128579651468</c:v>
                </c:pt>
                <c:pt idx="28">
                  <c:v>4120.3781712841483</c:v>
                </c:pt>
                <c:pt idx="29">
                  <c:v>4085.4698111697444</c:v>
                </c:pt>
                <c:pt idx="30">
                  <c:v>4050.3869092547684</c:v>
                </c:pt>
                <c:pt idx="31">
                  <c:v>4015.1285928302177</c:v>
                </c:pt>
                <c:pt idx="32">
                  <c:v>3979.6939848235443</c:v>
                </c:pt>
                <c:pt idx="33">
                  <c:v>3944.0822037768371</c:v>
                </c:pt>
                <c:pt idx="34">
                  <c:v>3908.2923638248963</c:v>
                </c:pt>
                <c:pt idx="35">
                  <c:v>3872.3235746731957</c:v>
                </c:pt>
                <c:pt idx="36">
                  <c:v>3836.1749415757372</c:v>
                </c:pt>
                <c:pt idx="37">
                  <c:v>3799.8455653127912</c:v>
                </c:pt>
                <c:pt idx="38">
                  <c:v>3763.3345421685303</c:v>
                </c:pt>
                <c:pt idx="39">
                  <c:v>3726.6409639085482</c:v>
                </c:pt>
                <c:pt idx="40">
                  <c:v>3689.763917757266</c:v>
                </c:pt>
                <c:pt idx="41">
                  <c:v>3652.7024863752276</c:v>
                </c:pt>
                <c:pt idx="42">
                  <c:v>3615.455747836279</c:v>
                </c:pt>
                <c:pt idx="43">
                  <c:v>3578.0227756046352</c:v>
                </c:pt>
                <c:pt idx="44">
                  <c:v>3540.4026385118336</c:v>
                </c:pt>
                <c:pt idx="45">
                  <c:v>3502.5944007335679</c:v>
                </c:pt>
                <c:pt idx="46">
                  <c:v>3464.597121766411</c:v>
                </c:pt>
                <c:pt idx="47">
                  <c:v>3426.4098564044184</c:v>
                </c:pt>
                <c:pt idx="48">
                  <c:v>3388.0316547156153</c:v>
                </c:pt>
                <c:pt idx="49">
                  <c:v>3349.461562018369</c:v>
                </c:pt>
                <c:pt idx="50">
                  <c:v>3310.6986188576361</c:v>
                </c:pt>
                <c:pt idx="51">
                  <c:v>3271.7418609810993</c:v>
                </c:pt>
                <c:pt idx="52">
                  <c:v>3232.5903193151798</c:v>
                </c:pt>
                <c:pt idx="53">
                  <c:v>3193.2430199409314</c:v>
                </c:pt>
                <c:pt idx="54">
                  <c:v>3153.6989840698111</c:v>
                </c:pt>
                <c:pt idx="55">
                  <c:v>3113.9572280193352</c:v>
                </c:pt>
                <c:pt idx="56">
                  <c:v>3074.0167631886075</c:v>
                </c:pt>
                <c:pt idx="57">
                  <c:v>3033.8765960337255</c:v>
                </c:pt>
                <c:pt idx="58">
                  <c:v>2993.5357280430699</c:v>
                </c:pt>
                <c:pt idx="59">
                  <c:v>2952.9931557124605</c:v>
                </c:pt>
                <c:pt idx="60">
                  <c:v>2912.2478705201979</c:v>
                </c:pt>
                <c:pt idx="61">
                  <c:v>2871.2988589019742</c:v>
                </c:pt>
                <c:pt idx="62">
                  <c:v>2830.1451022256592</c:v>
                </c:pt>
                <c:pt idx="63">
                  <c:v>2788.785576765963</c:v>
                </c:pt>
                <c:pt idx="64">
                  <c:v>2747.219253678968</c:v>
                </c:pt>
                <c:pt idx="65">
                  <c:v>2705.4450989765382</c:v>
                </c:pt>
                <c:pt idx="66">
                  <c:v>2663.4620735005965</c:v>
                </c:pt>
                <c:pt idx="67">
                  <c:v>2621.2691328972746</c:v>
                </c:pt>
                <c:pt idx="68">
                  <c:v>2578.8652275909367</c:v>
                </c:pt>
                <c:pt idx="69">
                  <c:v>2536.2493027580663</c:v>
                </c:pt>
                <c:pt idx="70">
                  <c:v>2493.4202983010318</c:v>
                </c:pt>
                <c:pt idx="71">
                  <c:v>2450.3771488217121</c:v>
                </c:pt>
                <c:pt idx="72">
                  <c:v>2407.1187835949959</c:v>
                </c:pt>
                <c:pt idx="73">
                  <c:v>2363.6441265421463</c:v>
                </c:pt>
                <c:pt idx="74">
                  <c:v>2319.9520962040324</c:v>
                </c:pt>
                <c:pt idx="75">
                  <c:v>2276.0416057142279</c:v>
                </c:pt>
                <c:pt idx="76">
                  <c:v>2231.9115627719743</c:v>
                </c:pt>
                <c:pt idx="77">
                  <c:v>2187.5608696150093</c:v>
                </c:pt>
                <c:pt idx="78">
                  <c:v>2142.98842299226</c:v>
                </c:pt>
                <c:pt idx="79">
                  <c:v>2098.1931141363962</c:v>
                </c:pt>
                <c:pt idx="80">
                  <c:v>2053.1738287362537</c:v>
                </c:pt>
                <c:pt idx="81">
                  <c:v>2007.9294469091101</c:v>
                </c:pt>
                <c:pt idx="82">
                  <c:v>1962.4588431728309</c:v>
                </c:pt>
                <c:pt idx="83">
                  <c:v>1916.7608864178703</c:v>
                </c:pt>
                <c:pt idx="84">
                  <c:v>1870.8344398791348</c:v>
                </c:pt>
                <c:pt idx="85">
                  <c:v>1824.678361107706</c:v>
                </c:pt>
                <c:pt idx="86">
                  <c:v>1778.2915019424197</c:v>
                </c:pt>
                <c:pt idx="87">
                  <c:v>1731.6727084813069</c:v>
                </c:pt>
                <c:pt idx="88">
                  <c:v>1684.8208210528887</c:v>
                </c:pt>
                <c:pt idx="89">
                  <c:v>1637.7346741873284</c:v>
                </c:pt>
                <c:pt idx="90">
                  <c:v>1590.4130965874406</c:v>
                </c:pt>
                <c:pt idx="91">
                  <c:v>1542.854911099553</c:v>
                </c:pt>
                <c:pt idx="92">
                  <c:v>1495.0589346842262</c:v>
                </c:pt>
                <c:pt idx="93">
                  <c:v>1447.0239783868226</c:v>
                </c:pt>
                <c:pt idx="94">
                  <c:v>1398.7488473079318</c:v>
                </c:pt>
                <c:pt idx="95">
                  <c:v>1350.232340573647</c:v>
                </c:pt>
                <c:pt idx="96">
                  <c:v>1301.4732513056906</c:v>
                </c:pt>
                <c:pt idx="97">
                  <c:v>1252.4703665913944</c:v>
                </c:pt>
                <c:pt idx="98">
                  <c:v>1203.2224674535264</c:v>
                </c:pt>
                <c:pt idx="99">
                  <c:v>1153.7283288199694</c:v>
                </c:pt>
                <c:pt idx="100">
                  <c:v>1103.9867194932444</c:v>
                </c:pt>
                <c:pt idx="101">
                  <c:v>1053.9964021198859</c:v>
                </c:pt>
                <c:pt idx="102">
                  <c:v>1003.7561331596607</c:v>
                </c:pt>
                <c:pt idx="103">
                  <c:v>953.26466285463425</c:v>
                </c:pt>
                <c:pt idx="104">
                  <c:v>902.52073519808266</c:v>
                </c:pt>
                <c:pt idx="105">
                  <c:v>851.52308790324844</c:v>
                </c:pt>
                <c:pt idx="106">
                  <c:v>800.27045237193988</c:v>
                </c:pt>
                <c:pt idx="107">
                  <c:v>748.76155366297496</c:v>
                </c:pt>
                <c:pt idx="108">
                  <c:v>696.99511046046507</c:v>
                </c:pt>
                <c:pt idx="109">
                  <c:v>644.9698350419427</c:v>
                </c:pt>
                <c:pt idx="110">
                  <c:v>592.68443324632767</c:v>
                </c:pt>
                <c:pt idx="111">
                  <c:v>540.13760444173454</c:v>
                </c:pt>
                <c:pt idx="112">
                  <c:v>487.32804149311852</c:v>
                </c:pt>
                <c:pt idx="113">
                  <c:v>434.25443072975941</c:v>
                </c:pt>
                <c:pt idx="114">
                  <c:v>380.91545191258353</c:v>
                </c:pt>
                <c:pt idx="115">
                  <c:v>327.30977820132171</c:v>
                </c:pt>
                <c:pt idx="116">
                  <c:v>273.43607612150362</c:v>
                </c:pt>
                <c:pt idx="117">
                  <c:v>219.29300553128641</c:v>
                </c:pt>
                <c:pt idx="118">
                  <c:v>164.8792195881181</c:v>
                </c:pt>
                <c:pt idx="119">
                  <c:v>110.19336471523398</c:v>
                </c:pt>
                <c:pt idx="120">
                  <c:v>55.234080567985437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0-4792-8A71-882118E1061E}"/>
            </c:ext>
          </c:extLst>
        </c:ser>
        <c:ser>
          <c:idx val="2"/>
          <c:order val="2"/>
          <c:tx>
            <c:strRef>
              <c:f>Amortização!$D$9</c:f>
              <c:strCache>
                <c:ptCount val="1"/>
                <c:pt idx="0">
                  <c:v>Amortização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Amortização!$K$10:$K$130</c:f>
              <c:numCache>
                <c:formatCode>#,##0.00_);[Red]\(#,##0.00\)</c:formatCode>
                <c:ptCount val="121"/>
                <c:pt idx="1">
                  <c:v>6102.0501941649436</c:v>
                </c:pt>
                <c:pt idx="2">
                  <c:v>6132.5604451357685</c:v>
                </c:pt>
                <c:pt idx="3">
                  <c:v>6163.2232473614476</c:v>
                </c:pt>
                <c:pt idx="4">
                  <c:v>6194.0393635982546</c:v>
                </c:pt>
                <c:pt idx="5">
                  <c:v>6225.0095604162461</c:v>
                </c:pt>
                <c:pt idx="6">
                  <c:v>6256.1346082183272</c:v>
                </c:pt>
                <c:pt idx="7">
                  <c:v>6287.4152812594184</c:v>
                </c:pt>
                <c:pt idx="8">
                  <c:v>6318.8523576657162</c:v>
                </c:pt>
                <c:pt idx="9">
                  <c:v>6350.4466194540446</c:v>
                </c:pt>
                <c:pt idx="10">
                  <c:v>6382.1988525513143</c:v>
                </c:pt>
                <c:pt idx="11">
                  <c:v>6414.1098468140708</c:v>
                </c:pt>
                <c:pt idx="12">
                  <c:v>6446.1803960481411</c:v>
                </c:pt>
                <c:pt idx="13">
                  <c:v>6478.4112980283817</c:v>
                </c:pt>
                <c:pt idx="14">
                  <c:v>6510.8033545185244</c:v>
                </c:pt>
                <c:pt idx="15">
                  <c:v>6543.3573712911166</c:v>
                </c:pt>
                <c:pt idx="16">
                  <c:v>6576.0741581475722</c:v>
                </c:pt>
                <c:pt idx="17">
                  <c:v>6608.9545289383104</c:v>
                </c:pt>
                <c:pt idx="18">
                  <c:v>6641.9993015830014</c:v>
                </c:pt>
                <c:pt idx="19">
                  <c:v>6675.2092980909165</c:v>
                </c:pt>
                <c:pt idx="20">
                  <c:v>6708.5853445813709</c:v>
                </c:pt>
                <c:pt idx="21">
                  <c:v>6742.1282713042783</c:v>
                </c:pt>
                <c:pt idx="22">
                  <c:v>6775.8389126607999</c:v>
                </c:pt>
                <c:pt idx="23">
                  <c:v>6809.7181072241037</c:v>
                </c:pt>
                <c:pt idx="24">
                  <c:v>6843.7666977602239</c:v>
                </c:pt>
                <c:pt idx="25">
                  <c:v>6877.9855312490254</c:v>
                </c:pt>
                <c:pt idx="26">
                  <c:v>6912.3754589052705</c:v>
                </c:pt>
                <c:pt idx="27">
                  <c:v>6946.9373361997968</c:v>
                </c:pt>
                <c:pt idx="28">
                  <c:v>6981.6720228807953</c:v>
                </c:pt>
                <c:pt idx="29">
                  <c:v>7016.5803829951992</c:v>
                </c:pt>
                <c:pt idx="30">
                  <c:v>7051.6632849101752</c:v>
                </c:pt>
                <c:pt idx="31">
                  <c:v>7086.9216013347259</c:v>
                </c:pt>
                <c:pt idx="32">
                  <c:v>7122.3562093413993</c:v>
                </c:pt>
                <c:pt idx="33">
                  <c:v>7157.967990388106</c:v>
                </c:pt>
                <c:pt idx="34">
                  <c:v>7193.7578303400478</c:v>
                </c:pt>
                <c:pt idx="35">
                  <c:v>7229.7266194917484</c:v>
                </c:pt>
                <c:pt idx="36">
                  <c:v>7265.8752525892069</c:v>
                </c:pt>
                <c:pt idx="37">
                  <c:v>7302.2046288521524</c:v>
                </c:pt>
                <c:pt idx="38">
                  <c:v>7338.7156519964137</c:v>
                </c:pt>
                <c:pt idx="39">
                  <c:v>7375.4092302563949</c:v>
                </c:pt>
                <c:pt idx="40">
                  <c:v>7412.2862764076781</c:v>
                </c:pt>
                <c:pt idx="41">
                  <c:v>7449.347707789716</c:v>
                </c:pt>
                <c:pt idx="42">
                  <c:v>7486.5944463286651</c:v>
                </c:pt>
                <c:pt idx="43">
                  <c:v>7524.0274185603084</c:v>
                </c:pt>
                <c:pt idx="44">
                  <c:v>7561.6475556531095</c:v>
                </c:pt>
                <c:pt idx="45">
                  <c:v>7599.4557934313762</c:v>
                </c:pt>
                <c:pt idx="46">
                  <c:v>7637.4530723985326</c:v>
                </c:pt>
                <c:pt idx="47">
                  <c:v>7675.6403377605257</c:v>
                </c:pt>
                <c:pt idx="48">
                  <c:v>7714.0185394493283</c:v>
                </c:pt>
                <c:pt idx="49">
                  <c:v>7752.588632146575</c:v>
                </c:pt>
                <c:pt idx="50">
                  <c:v>7791.3515753073079</c:v>
                </c:pt>
                <c:pt idx="51">
                  <c:v>7830.3083331838443</c:v>
                </c:pt>
                <c:pt idx="52">
                  <c:v>7869.4598748497638</c:v>
                </c:pt>
                <c:pt idx="53">
                  <c:v>7908.8071742240118</c:v>
                </c:pt>
                <c:pt idx="54">
                  <c:v>7948.351210095132</c:v>
                </c:pt>
                <c:pt idx="55">
                  <c:v>7988.0929661456084</c:v>
                </c:pt>
                <c:pt idx="56">
                  <c:v>8028.0334309763366</c:v>
                </c:pt>
                <c:pt idx="57">
                  <c:v>8068.1735981312177</c:v>
                </c:pt>
                <c:pt idx="58">
                  <c:v>8108.5144661218737</c:v>
                </c:pt>
                <c:pt idx="59">
                  <c:v>8149.0570384524835</c:v>
                </c:pt>
                <c:pt idx="60">
                  <c:v>8189.8023236447461</c:v>
                </c:pt>
                <c:pt idx="61">
                  <c:v>8230.7513352629685</c:v>
                </c:pt>
                <c:pt idx="62">
                  <c:v>8271.9050919392848</c:v>
                </c:pt>
                <c:pt idx="63">
                  <c:v>8313.2646173989815</c:v>
                </c:pt>
                <c:pt idx="64">
                  <c:v>8354.8309404859756</c:v>
                </c:pt>
                <c:pt idx="65">
                  <c:v>8396.6050951884063</c:v>
                </c:pt>
                <c:pt idx="66">
                  <c:v>8438.5881206643462</c:v>
                </c:pt>
                <c:pt idx="67">
                  <c:v>8480.7810612676694</c:v>
                </c:pt>
                <c:pt idx="68">
                  <c:v>8523.1849665740065</c:v>
                </c:pt>
                <c:pt idx="69">
                  <c:v>8565.8008914068778</c:v>
                </c:pt>
                <c:pt idx="70">
                  <c:v>8608.6298958639127</c:v>
                </c:pt>
                <c:pt idx="71">
                  <c:v>8651.6730453432319</c:v>
                </c:pt>
                <c:pt idx="72">
                  <c:v>8694.9314105699486</c:v>
                </c:pt>
                <c:pt idx="73">
                  <c:v>8738.4060676227964</c:v>
                </c:pt>
                <c:pt idx="74">
                  <c:v>8782.0980979609121</c:v>
                </c:pt>
                <c:pt idx="75">
                  <c:v>8826.0085884507153</c:v>
                </c:pt>
                <c:pt idx="76">
                  <c:v>8870.1386313929688</c:v>
                </c:pt>
                <c:pt idx="77">
                  <c:v>8914.4893245499334</c:v>
                </c:pt>
                <c:pt idx="78">
                  <c:v>8959.0617711726845</c:v>
                </c:pt>
                <c:pt idx="79">
                  <c:v>9003.857080028547</c:v>
                </c:pt>
                <c:pt idx="80">
                  <c:v>9048.8763654286904</c:v>
                </c:pt>
                <c:pt idx="81">
                  <c:v>9094.1207472558344</c:v>
                </c:pt>
                <c:pt idx="82">
                  <c:v>9139.591350992112</c:v>
                </c:pt>
                <c:pt idx="83">
                  <c:v>9185.2893077470726</c:v>
                </c:pt>
                <c:pt idx="84">
                  <c:v>9231.2157542858095</c:v>
                </c:pt>
                <c:pt idx="85">
                  <c:v>9277.3718330572374</c:v>
                </c:pt>
                <c:pt idx="86">
                  <c:v>9323.7586922225237</c:v>
                </c:pt>
                <c:pt idx="87">
                  <c:v>9370.3774856836371</c:v>
                </c:pt>
                <c:pt idx="88">
                  <c:v>9417.2293731120553</c:v>
                </c:pt>
                <c:pt idx="89">
                  <c:v>9464.3155199776156</c:v>
                </c:pt>
                <c:pt idx="90">
                  <c:v>9511.6370975775026</c:v>
                </c:pt>
                <c:pt idx="91">
                  <c:v>9559.19528306539</c:v>
                </c:pt>
                <c:pt idx="92">
                  <c:v>9606.9912594807174</c:v>
                </c:pt>
                <c:pt idx="93">
                  <c:v>9655.0262157781217</c:v>
                </c:pt>
                <c:pt idx="94">
                  <c:v>9703.3013468570116</c:v>
                </c:pt>
                <c:pt idx="95">
                  <c:v>9751.8178535912957</c:v>
                </c:pt>
                <c:pt idx="96">
                  <c:v>9800.5769428592539</c:v>
                </c:pt>
                <c:pt idx="97">
                  <c:v>9849.5798275735488</c:v>
                </c:pt>
                <c:pt idx="98">
                  <c:v>9898.8277267114172</c:v>
                </c:pt>
                <c:pt idx="99">
                  <c:v>9948.3218653449749</c:v>
                </c:pt>
                <c:pt idx="100">
                  <c:v>9998.0634746716987</c:v>
                </c:pt>
                <c:pt idx="101">
                  <c:v>10048.053792045057</c:v>
                </c:pt>
                <c:pt idx="102">
                  <c:v>10098.294061005283</c:v>
                </c:pt>
                <c:pt idx="103">
                  <c:v>10148.78553131031</c:v>
                </c:pt>
                <c:pt idx="104">
                  <c:v>10199.529458966861</c:v>
                </c:pt>
                <c:pt idx="105">
                  <c:v>10250.527106261696</c:v>
                </c:pt>
                <c:pt idx="106">
                  <c:v>10301.779741793003</c:v>
                </c:pt>
                <c:pt idx="107">
                  <c:v>10353.288640501969</c:v>
                </c:pt>
                <c:pt idx="108">
                  <c:v>10405.055083704479</c:v>
                </c:pt>
                <c:pt idx="109">
                  <c:v>10457.080359123001</c:v>
                </c:pt>
                <c:pt idx="110">
                  <c:v>10509.365760918616</c:v>
                </c:pt>
                <c:pt idx="111">
                  <c:v>10561.91258972321</c:v>
                </c:pt>
                <c:pt idx="112">
                  <c:v>10614.722152671826</c:v>
                </c:pt>
                <c:pt idx="113">
                  <c:v>10667.795763435184</c:v>
                </c:pt>
                <c:pt idx="114">
                  <c:v>10721.13474225236</c:v>
                </c:pt>
                <c:pt idx="115">
                  <c:v>10774.740415963623</c:v>
                </c:pt>
                <c:pt idx="116">
                  <c:v>10828.614118043441</c:v>
                </c:pt>
                <c:pt idx="117">
                  <c:v>10882.757188633657</c:v>
                </c:pt>
                <c:pt idx="118">
                  <c:v>10937.170974576826</c:v>
                </c:pt>
                <c:pt idx="119">
                  <c:v>10991.856829449709</c:v>
                </c:pt>
                <c:pt idx="120">
                  <c:v>11046.816113596959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0-4792-8A71-882118E1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360288"/>
        <c:axId val="1657732848"/>
      </c:lineChart>
      <c:catAx>
        <c:axId val="16523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7732848"/>
        <c:crosses val="autoZero"/>
        <c:auto val="1"/>
        <c:lblAlgn val="ctr"/>
        <c:lblOffset val="100"/>
        <c:noMultiLvlLbl val="0"/>
      </c:catAx>
      <c:valAx>
        <c:axId val="16577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236028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58267942280993001"/>
          <c:y val="0.41478032030027379"/>
          <c:w val="0.39054667925892389"/>
          <c:h val="4.53900959350342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Saldo devedor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SAC</c:v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Amortização!$A$10:$A$130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Amortização!$E$10:$E$130</c:f>
              <c:numCache>
                <c:formatCode>#,##0.00</c:formatCode>
                <c:ptCount val="121"/>
                <c:pt idx="0">
                  <c:v>1000000</c:v>
                </c:pt>
                <c:pt idx="1">
                  <c:v>991666.66666666663</c:v>
                </c:pt>
                <c:pt idx="2">
                  <c:v>983333.33333333326</c:v>
                </c:pt>
                <c:pt idx="3">
                  <c:v>974999.99999999988</c:v>
                </c:pt>
                <c:pt idx="4">
                  <c:v>966666.66666666651</c:v>
                </c:pt>
                <c:pt idx="5">
                  <c:v>958333.33333333314</c:v>
                </c:pt>
                <c:pt idx="6">
                  <c:v>949999.99999999977</c:v>
                </c:pt>
                <c:pt idx="7">
                  <c:v>941666.6666666664</c:v>
                </c:pt>
                <c:pt idx="8">
                  <c:v>933333.33333333302</c:v>
                </c:pt>
                <c:pt idx="9">
                  <c:v>924999.99999999965</c:v>
                </c:pt>
                <c:pt idx="10">
                  <c:v>916666.66666666628</c:v>
                </c:pt>
                <c:pt idx="11">
                  <c:v>908333.33333333291</c:v>
                </c:pt>
                <c:pt idx="12">
                  <c:v>899999.99999999953</c:v>
                </c:pt>
                <c:pt idx="13">
                  <c:v>891666.66666666616</c:v>
                </c:pt>
                <c:pt idx="14">
                  <c:v>883333.33333333279</c:v>
                </c:pt>
                <c:pt idx="15">
                  <c:v>874999.99999999942</c:v>
                </c:pt>
                <c:pt idx="16">
                  <c:v>866666.66666666605</c:v>
                </c:pt>
                <c:pt idx="17">
                  <c:v>858333.33333333267</c:v>
                </c:pt>
                <c:pt idx="18">
                  <c:v>849999.9999999993</c:v>
                </c:pt>
                <c:pt idx="19">
                  <c:v>841666.66666666593</c:v>
                </c:pt>
                <c:pt idx="20">
                  <c:v>833333.33333333256</c:v>
                </c:pt>
                <c:pt idx="21">
                  <c:v>824999.99999999919</c:v>
                </c:pt>
                <c:pt idx="22">
                  <c:v>816666.66666666581</c:v>
                </c:pt>
                <c:pt idx="23">
                  <c:v>808333.33333333244</c:v>
                </c:pt>
                <c:pt idx="24">
                  <c:v>799999.99999999907</c:v>
                </c:pt>
                <c:pt idx="25">
                  <c:v>791666.6666666657</c:v>
                </c:pt>
                <c:pt idx="26">
                  <c:v>783333.33333333232</c:v>
                </c:pt>
                <c:pt idx="27">
                  <c:v>774999.99999999895</c:v>
                </c:pt>
                <c:pt idx="28">
                  <c:v>766666.66666666558</c:v>
                </c:pt>
                <c:pt idx="29">
                  <c:v>758333.33333333221</c:v>
                </c:pt>
                <c:pt idx="30">
                  <c:v>749999.99999999884</c:v>
                </c:pt>
                <c:pt idx="31">
                  <c:v>741666.66666666546</c:v>
                </c:pt>
                <c:pt idx="32">
                  <c:v>733333.33333333209</c:v>
                </c:pt>
                <c:pt idx="33">
                  <c:v>724999.99999999872</c:v>
                </c:pt>
                <c:pt idx="34">
                  <c:v>716666.66666666535</c:v>
                </c:pt>
                <c:pt idx="35">
                  <c:v>708333.33333333198</c:v>
                </c:pt>
                <c:pt idx="36">
                  <c:v>699999.9999999986</c:v>
                </c:pt>
                <c:pt idx="37">
                  <c:v>691666.66666666523</c:v>
                </c:pt>
                <c:pt idx="38">
                  <c:v>683333.33333333186</c:v>
                </c:pt>
                <c:pt idx="39">
                  <c:v>674999.99999999849</c:v>
                </c:pt>
                <c:pt idx="40">
                  <c:v>666666.66666666511</c:v>
                </c:pt>
                <c:pt idx="41">
                  <c:v>658333.33333333174</c:v>
                </c:pt>
                <c:pt idx="42">
                  <c:v>649999.99999999837</c:v>
                </c:pt>
                <c:pt idx="43">
                  <c:v>641666.666666665</c:v>
                </c:pt>
                <c:pt idx="44">
                  <c:v>633333.33333333163</c:v>
                </c:pt>
                <c:pt idx="45">
                  <c:v>624999.99999999825</c:v>
                </c:pt>
                <c:pt idx="46">
                  <c:v>616666.66666666488</c:v>
                </c:pt>
                <c:pt idx="47">
                  <c:v>608333.33333333151</c:v>
                </c:pt>
                <c:pt idx="48">
                  <c:v>599999.99999999814</c:v>
                </c:pt>
                <c:pt idx="49">
                  <c:v>591666.66666666477</c:v>
                </c:pt>
                <c:pt idx="50">
                  <c:v>583333.33333333139</c:v>
                </c:pt>
                <c:pt idx="51">
                  <c:v>574999.99999999802</c:v>
                </c:pt>
                <c:pt idx="52">
                  <c:v>566666.66666666465</c:v>
                </c:pt>
                <c:pt idx="53">
                  <c:v>558333.33333333128</c:v>
                </c:pt>
                <c:pt idx="54">
                  <c:v>549999.9999999979</c:v>
                </c:pt>
                <c:pt idx="55">
                  <c:v>541666.66666666453</c:v>
                </c:pt>
                <c:pt idx="56">
                  <c:v>533333.33333333116</c:v>
                </c:pt>
                <c:pt idx="57">
                  <c:v>524999.99999999779</c:v>
                </c:pt>
                <c:pt idx="58">
                  <c:v>516666.66666666447</c:v>
                </c:pt>
                <c:pt idx="59">
                  <c:v>508333.33333333116</c:v>
                </c:pt>
                <c:pt idx="60">
                  <c:v>499999.99999999785</c:v>
                </c:pt>
                <c:pt idx="61">
                  <c:v>491666.66666666453</c:v>
                </c:pt>
                <c:pt idx="62">
                  <c:v>483333.33333333122</c:v>
                </c:pt>
                <c:pt idx="63">
                  <c:v>474999.9999999979</c:v>
                </c:pt>
                <c:pt idx="64">
                  <c:v>466666.66666666459</c:v>
                </c:pt>
                <c:pt idx="65">
                  <c:v>458333.33333333128</c:v>
                </c:pt>
                <c:pt idx="66">
                  <c:v>449999.99999999796</c:v>
                </c:pt>
                <c:pt idx="67">
                  <c:v>441666.66666666465</c:v>
                </c:pt>
                <c:pt idx="68">
                  <c:v>433333.33333333133</c:v>
                </c:pt>
                <c:pt idx="69">
                  <c:v>424999.99999999802</c:v>
                </c:pt>
                <c:pt idx="70">
                  <c:v>416666.66666666471</c:v>
                </c:pt>
                <c:pt idx="71">
                  <c:v>408333.33333333139</c:v>
                </c:pt>
                <c:pt idx="72">
                  <c:v>399999.99999999808</c:v>
                </c:pt>
                <c:pt idx="73">
                  <c:v>391666.66666666477</c:v>
                </c:pt>
                <c:pt idx="74">
                  <c:v>383333.33333333145</c:v>
                </c:pt>
                <c:pt idx="75">
                  <c:v>374999.99999999814</c:v>
                </c:pt>
                <c:pt idx="76">
                  <c:v>366666.66666666482</c:v>
                </c:pt>
                <c:pt idx="77">
                  <c:v>358333.33333333151</c:v>
                </c:pt>
                <c:pt idx="78">
                  <c:v>349999.9999999982</c:v>
                </c:pt>
                <c:pt idx="79">
                  <c:v>341666.66666666488</c:v>
                </c:pt>
                <c:pt idx="80">
                  <c:v>333333.33333333157</c:v>
                </c:pt>
                <c:pt idx="81">
                  <c:v>324999.99999999825</c:v>
                </c:pt>
                <c:pt idx="82">
                  <c:v>316666.66666666494</c:v>
                </c:pt>
                <c:pt idx="83">
                  <c:v>308333.33333333163</c:v>
                </c:pt>
                <c:pt idx="84">
                  <c:v>299999.99999999831</c:v>
                </c:pt>
                <c:pt idx="85">
                  <c:v>291666.666666665</c:v>
                </c:pt>
                <c:pt idx="86">
                  <c:v>283333.33333333168</c:v>
                </c:pt>
                <c:pt idx="87">
                  <c:v>274999.99999999837</c:v>
                </c:pt>
                <c:pt idx="88">
                  <c:v>266666.66666666506</c:v>
                </c:pt>
                <c:pt idx="89">
                  <c:v>258333.33333333171</c:v>
                </c:pt>
                <c:pt idx="90">
                  <c:v>249999.99999999837</c:v>
                </c:pt>
                <c:pt idx="91">
                  <c:v>241666.66666666503</c:v>
                </c:pt>
                <c:pt idx="92">
                  <c:v>233333.33333333168</c:v>
                </c:pt>
                <c:pt idx="93">
                  <c:v>224999.99999999834</c:v>
                </c:pt>
                <c:pt idx="94">
                  <c:v>216666.666666665</c:v>
                </c:pt>
                <c:pt idx="95">
                  <c:v>208333.33333333166</c:v>
                </c:pt>
                <c:pt idx="96">
                  <c:v>199999.99999999831</c:v>
                </c:pt>
                <c:pt idx="97">
                  <c:v>191666.66666666497</c:v>
                </c:pt>
                <c:pt idx="98">
                  <c:v>183333.33333333163</c:v>
                </c:pt>
                <c:pt idx="99">
                  <c:v>174999.99999999828</c:v>
                </c:pt>
                <c:pt idx="100">
                  <c:v>166666.66666666494</c:v>
                </c:pt>
                <c:pt idx="101">
                  <c:v>158333.3333333316</c:v>
                </c:pt>
                <c:pt idx="102">
                  <c:v>149999.99999999825</c:v>
                </c:pt>
                <c:pt idx="103">
                  <c:v>141666.66666666491</c:v>
                </c:pt>
                <c:pt idx="104">
                  <c:v>133333.33333333157</c:v>
                </c:pt>
                <c:pt idx="105">
                  <c:v>124999.99999999824</c:v>
                </c:pt>
                <c:pt idx="106">
                  <c:v>116666.66666666491</c:v>
                </c:pt>
                <c:pt idx="107">
                  <c:v>108333.33333333158</c:v>
                </c:pt>
                <c:pt idx="108">
                  <c:v>99999.999999998254</c:v>
                </c:pt>
                <c:pt idx="109">
                  <c:v>91666.666666664925</c:v>
                </c:pt>
                <c:pt idx="110">
                  <c:v>83333.333333331597</c:v>
                </c:pt>
                <c:pt idx="111">
                  <c:v>74999.999999998268</c:v>
                </c:pt>
                <c:pt idx="112">
                  <c:v>66666.66666666494</c:v>
                </c:pt>
                <c:pt idx="113">
                  <c:v>58333.333333331604</c:v>
                </c:pt>
                <c:pt idx="114">
                  <c:v>49999.999999998268</c:v>
                </c:pt>
                <c:pt idx="115">
                  <c:v>41666.666666664933</c:v>
                </c:pt>
                <c:pt idx="116">
                  <c:v>33333.333333331597</c:v>
                </c:pt>
                <c:pt idx="117">
                  <c:v>24999.999999998261</c:v>
                </c:pt>
                <c:pt idx="118">
                  <c:v>16666.666666664925</c:v>
                </c:pt>
                <c:pt idx="119">
                  <c:v>8333.3333333315913</c:v>
                </c:pt>
                <c:pt idx="120">
                  <c:v>-1.7425918485969305E-9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FA-4FB0-A96D-903FC3600399}"/>
            </c:ext>
          </c:extLst>
        </c:ser>
        <c:ser>
          <c:idx val="0"/>
          <c:order val="1"/>
          <c:tx>
            <c:v>PRICE</c:v>
          </c:tx>
          <c:spPr>
            <a:ln w="3492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Amortização!$L$10:$L$130</c:f>
              <c:numCache>
                <c:formatCode>#,##0.00</c:formatCode>
                <c:ptCount val="121"/>
                <c:pt idx="0">
                  <c:v>1000000</c:v>
                </c:pt>
                <c:pt idx="1">
                  <c:v>993897.94980583503</c:v>
                </c:pt>
                <c:pt idx="2">
                  <c:v>987765.38936069922</c:v>
                </c:pt>
                <c:pt idx="3">
                  <c:v>981602.16611333773</c:v>
                </c:pt>
                <c:pt idx="4">
                  <c:v>975408.12674973952</c:v>
                </c:pt>
                <c:pt idx="5">
                  <c:v>969183.1171893233</c:v>
                </c:pt>
                <c:pt idx="6">
                  <c:v>962926.98258110497</c:v>
                </c:pt>
                <c:pt idx="7">
                  <c:v>956639.56729984551</c:v>
                </c:pt>
                <c:pt idx="8">
                  <c:v>950320.71494217985</c:v>
                </c:pt>
                <c:pt idx="9">
                  <c:v>943970.26832272578</c:v>
                </c:pt>
                <c:pt idx="10">
                  <c:v>937588.06947017449</c:v>
                </c:pt>
                <c:pt idx="11">
                  <c:v>931173.95962336042</c:v>
                </c:pt>
                <c:pt idx="12">
                  <c:v>924727.77922731231</c:v>
                </c:pt>
                <c:pt idx="13">
                  <c:v>918249.36792928388</c:v>
                </c:pt>
                <c:pt idx="14">
                  <c:v>911738.56457476539</c:v>
                </c:pt>
                <c:pt idx="15">
                  <c:v>905195.20720347425</c:v>
                </c:pt>
                <c:pt idx="16">
                  <c:v>898619.13304532669</c:v>
                </c:pt>
                <c:pt idx="17">
                  <c:v>892010.17851638841</c:v>
                </c:pt>
                <c:pt idx="18">
                  <c:v>885368.17921480536</c:v>
                </c:pt>
                <c:pt idx="19">
                  <c:v>878692.96991671447</c:v>
                </c:pt>
                <c:pt idx="20">
                  <c:v>871984.38457213307</c:v>
                </c:pt>
                <c:pt idx="21">
                  <c:v>865242.25630082877</c:v>
                </c:pt>
                <c:pt idx="22">
                  <c:v>858466.41738816793</c:v>
                </c:pt>
                <c:pt idx="23">
                  <c:v>851656.69928094384</c:v>
                </c:pt>
                <c:pt idx="24">
                  <c:v>844812.93258318363</c:v>
                </c:pt>
                <c:pt idx="25">
                  <c:v>837934.94705193467</c:v>
                </c:pt>
                <c:pt idx="26">
                  <c:v>831022.57159302942</c:v>
                </c:pt>
                <c:pt idx="27">
                  <c:v>824075.63425682962</c:v>
                </c:pt>
                <c:pt idx="28">
                  <c:v>817093.96223394887</c:v>
                </c:pt>
                <c:pt idx="29">
                  <c:v>810077.38185095368</c:v>
                </c:pt>
                <c:pt idx="30">
                  <c:v>803025.71856604354</c:v>
                </c:pt>
                <c:pt idx="31">
                  <c:v>795938.79696470883</c:v>
                </c:pt>
                <c:pt idx="32">
                  <c:v>788816.4407553674</c:v>
                </c:pt>
                <c:pt idx="33">
                  <c:v>781658.47276497923</c:v>
                </c:pt>
                <c:pt idx="34">
                  <c:v>774464.71493463917</c:v>
                </c:pt>
                <c:pt idx="35">
                  <c:v>767234.98831514746</c:v>
                </c:pt>
                <c:pt idx="36">
                  <c:v>759969.11306255823</c:v>
                </c:pt>
                <c:pt idx="37">
                  <c:v>752666.90843370603</c:v>
                </c:pt>
                <c:pt idx="38">
                  <c:v>745328.1927817096</c:v>
                </c:pt>
                <c:pt idx="39">
                  <c:v>737952.78355145315</c:v>
                </c:pt>
                <c:pt idx="40">
                  <c:v>730540.49727504549</c:v>
                </c:pt>
                <c:pt idx="41">
                  <c:v>723091.14956725575</c:v>
                </c:pt>
                <c:pt idx="42">
                  <c:v>715604.55512092705</c:v>
                </c:pt>
                <c:pt idx="43">
                  <c:v>708080.5277023667</c:v>
                </c:pt>
                <c:pt idx="44">
                  <c:v>700518.88014671358</c:v>
                </c:pt>
                <c:pt idx="45">
                  <c:v>692919.4243532822</c:v>
                </c:pt>
                <c:pt idx="46">
                  <c:v>685281.97128088365</c:v>
                </c:pt>
                <c:pt idx="47">
                  <c:v>677606.33094312309</c:v>
                </c:pt>
                <c:pt idx="48">
                  <c:v>669892.31240367377</c:v>
                </c:pt>
                <c:pt idx="49">
                  <c:v>662139.72377152718</c:v>
                </c:pt>
                <c:pt idx="50">
                  <c:v>654348.37219621986</c:v>
                </c:pt>
                <c:pt idx="51">
                  <c:v>646518.06386303599</c:v>
                </c:pt>
                <c:pt idx="52">
                  <c:v>638648.60398818622</c:v>
                </c:pt>
                <c:pt idx="53">
                  <c:v>630739.79681396217</c:v>
                </c:pt>
                <c:pt idx="54">
                  <c:v>622791.44560386706</c:v>
                </c:pt>
                <c:pt idx="55">
                  <c:v>614803.35263772146</c:v>
                </c:pt>
                <c:pt idx="56">
                  <c:v>606775.31920674513</c:v>
                </c:pt>
                <c:pt idx="57">
                  <c:v>598707.14560861397</c:v>
                </c:pt>
                <c:pt idx="58">
                  <c:v>590598.63114249206</c:v>
                </c:pt>
                <c:pt idx="59">
                  <c:v>582449.57410403958</c:v>
                </c:pt>
                <c:pt idx="60">
                  <c:v>574259.77178039483</c:v>
                </c:pt>
                <c:pt idx="61">
                  <c:v>566029.02044513181</c:v>
                </c:pt>
                <c:pt idx="62">
                  <c:v>557757.11535319255</c:v>
                </c:pt>
                <c:pt idx="63">
                  <c:v>549443.85073579359</c:v>
                </c:pt>
                <c:pt idx="64">
                  <c:v>541089.01979530766</c:v>
                </c:pt>
                <c:pt idx="65">
                  <c:v>532692.41470011929</c:v>
                </c:pt>
                <c:pt idx="66">
                  <c:v>524253.82657945494</c:v>
                </c:pt>
                <c:pt idx="67">
                  <c:v>515773.04551818728</c:v>
                </c:pt>
                <c:pt idx="68">
                  <c:v>507249.86055161327</c:v>
                </c:pt>
                <c:pt idx="69">
                  <c:v>498684.05966020637</c:v>
                </c:pt>
                <c:pt idx="70">
                  <c:v>490075.42976434244</c:v>
                </c:pt>
                <c:pt idx="71">
                  <c:v>481423.75671899918</c:v>
                </c:pt>
                <c:pt idx="72">
                  <c:v>472728.82530842925</c:v>
                </c:pt>
                <c:pt idx="73">
                  <c:v>463990.41924080648</c:v>
                </c:pt>
                <c:pt idx="74">
                  <c:v>455208.32114284555</c:v>
                </c:pt>
                <c:pt idx="75">
                  <c:v>446382.31255439483</c:v>
                </c:pt>
                <c:pt idx="76">
                  <c:v>437512.17392300186</c:v>
                </c:pt>
                <c:pt idx="77">
                  <c:v>428597.68459845195</c:v>
                </c:pt>
                <c:pt idx="78">
                  <c:v>419638.62282727927</c:v>
                </c:pt>
                <c:pt idx="79">
                  <c:v>410634.7657472507</c:v>
                </c:pt>
                <c:pt idx="80">
                  <c:v>401585.88938182202</c:v>
                </c:pt>
                <c:pt idx="81">
                  <c:v>392491.76863456616</c:v>
                </c:pt>
                <c:pt idx="82">
                  <c:v>383352.17728357407</c:v>
                </c:pt>
                <c:pt idx="83">
                  <c:v>374166.88797582698</c:v>
                </c:pt>
                <c:pt idx="84">
                  <c:v>364935.67222154117</c:v>
                </c:pt>
                <c:pt idx="85">
                  <c:v>355658.30038848391</c:v>
                </c:pt>
                <c:pt idx="86">
                  <c:v>346334.54169626138</c:v>
                </c:pt>
                <c:pt idx="87">
                  <c:v>336964.16421057773</c:v>
                </c:pt>
                <c:pt idx="88">
                  <c:v>327546.9348374657</c:v>
                </c:pt>
                <c:pt idx="89">
                  <c:v>318082.6193174881</c:v>
                </c:pt>
                <c:pt idx="90">
                  <c:v>308570.9822199106</c:v>
                </c:pt>
                <c:pt idx="91">
                  <c:v>299011.78693684522</c:v>
                </c:pt>
                <c:pt idx="92">
                  <c:v>289404.79567736451</c:v>
                </c:pt>
                <c:pt idx="93">
                  <c:v>279749.76946158637</c:v>
                </c:pt>
                <c:pt idx="94">
                  <c:v>270046.46811472939</c:v>
                </c:pt>
                <c:pt idx="95">
                  <c:v>260294.6502611381</c:v>
                </c:pt>
                <c:pt idx="96">
                  <c:v>250494.07331827885</c:v>
                </c:pt>
                <c:pt idx="97">
                  <c:v>240644.4934907053</c:v>
                </c:pt>
                <c:pt idx="98">
                  <c:v>230745.66576399386</c:v>
                </c:pt>
                <c:pt idx="99">
                  <c:v>220797.34389864889</c:v>
                </c:pt>
                <c:pt idx="100">
                  <c:v>210799.28042397718</c:v>
                </c:pt>
                <c:pt idx="101">
                  <c:v>200751.22663193214</c:v>
                </c:pt>
                <c:pt idx="102">
                  <c:v>190652.93257092685</c:v>
                </c:pt>
                <c:pt idx="103">
                  <c:v>180504.14703961654</c:v>
                </c:pt>
                <c:pt idx="104">
                  <c:v>170304.61758064968</c:v>
                </c:pt>
                <c:pt idx="105">
                  <c:v>160054.09047438798</c:v>
                </c:pt>
                <c:pt idx="106">
                  <c:v>149752.31073259498</c:v>
                </c:pt>
                <c:pt idx="107">
                  <c:v>139399.02209209302</c:v>
                </c:pt>
                <c:pt idx="108">
                  <c:v>128993.96700838854</c:v>
                </c:pt>
                <c:pt idx="109">
                  <c:v>118536.88664926554</c:v>
                </c:pt>
                <c:pt idx="110">
                  <c:v>108027.52088834692</c:v>
                </c:pt>
                <c:pt idx="111">
                  <c:v>97465.608298623702</c:v>
                </c:pt>
                <c:pt idx="112">
                  <c:v>86850.886145951881</c:v>
                </c:pt>
                <c:pt idx="113">
                  <c:v>76183.090382516704</c:v>
                </c:pt>
                <c:pt idx="114">
                  <c:v>65461.955640264343</c:v>
                </c:pt>
                <c:pt idx="115">
                  <c:v>54687.215224300722</c:v>
                </c:pt>
                <c:pt idx="116">
                  <c:v>43858.60110625728</c:v>
                </c:pt>
                <c:pt idx="117">
                  <c:v>32975.843917623621</c:v>
                </c:pt>
                <c:pt idx="118">
                  <c:v>22038.672943046797</c:v>
                </c:pt>
                <c:pt idx="119">
                  <c:v>11046.816113597088</c:v>
                </c:pt>
                <c:pt idx="120">
                  <c:v>1.2914824765175581E-10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FA-4FB0-A96D-903FC360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360288"/>
        <c:axId val="1657732848"/>
      </c:lineChart>
      <c:catAx>
        <c:axId val="16523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7732848"/>
        <c:crosses val="autoZero"/>
        <c:auto val="1"/>
        <c:lblAlgn val="ctr"/>
        <c:lblOffset val="100"/>
        <c:noMultiLvlLbl val="0"/>
      </c:catAx>
      <c:valAx>
        <c:axId val="1657732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2360288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68212101740044562"/>
          <c:y val="0.14011935025628644"/>
          <c:w val="0.18902896997099319"/>
          <c:h val="4.53900959350342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1679" b="0" strike="noStrike" spc="-1">
                <a:solidFill>
                  <a:srgbClr val="595959"/>
                </a:solidFill>
                <a:latin typeface="Arial"/>
              </a:defRPr>
            </a:pPr>
            <a:r>
              <a:rPr lang="pt-BR" sz="1679" b="0" strike="noStrike" spc="-1">
                <a:solidFill>
                  <a:srgbClr val="595959"/>
                </a:solidFill>
                <a:latin typeface="Arial"/>
              </a:rPr>
              <a:t>Sistema SAC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'Amortização + corr monetária'!$B$11</c:f>
              <c:strCache>
                <c:ptCount val="1"/>
                <c:pt idx="0">
                  <c:v>Prestação</c:v>
                </c:pt>
              </c:strCache>
            </c:strRef>
          </c:tx>
          <c:spPr>
            <a:ln w="34925" cap="rnd">
              <a:solidFill>
                <a:srgbClr val="4F81BD"/>
              </a:solidFill>
              <a:round/>
            </a:ln>
          </c:spPr>
          <c:marker>
            <c:symbol val="none"/>
          </c:marker>
          <c:xVal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'Amortização + corr monetária'!$B$12:$B$132</c:f>
              <c:numCache>
                <c:formatCode>#,##0.00_);\(#,##0.00\)</c:formatCode>
                <c:ptCount val="121"/>
                <c:pt idx="1">
                  <c:v>9166.6666666666679</c:v>
                </c:pt>
                <c:pt idx="2">
                  <c:v>9125</c:v>
                </c:pt>
                <c:pt idx="3">
                  <c:v>9083.3333333333321</c:v>
                </c:pt>
                <c:pt idx="4">
                  <c:v>9041.6666666666661</c:v>
                </c:pt>
                <c:pt idx="5">
                  <c:v>9000</c:v>
                </c:pt>
                <c:pt idx="6">
                  <c:v>8958.3333333333321</c:v>
                </c:pt>
                <c:pt idx="7">
                  <c:v>8916.6666666666661</c:v>
                </c:pt>
                <c:pt idx="8">
                  <c:v>8875</c:v>
                </c:pt>
                <c:pt idx="9">
                  <c:v>8833.3333333333321</c:v>
                </c:pt>
                <c:pt idx="10">
                  <c:v>8791.6666666666642</c:v>
                </c:pt>
                <c:pt idx="11">
                  <c:v>8749.9999999999982</c:v>
                </c:pt>
                <c:pt idx="12">
                  <c:v>8708.3333333333321</c:v>
                </c:pt>
                <c:pt idx="13">
                  <c:v>9186.6666666666624</c:v>
                </c:pt>
                <c:pt idx="14">
                  <c:v>9142.4999999999964</c:v>
                </c:pt>
                <c:pt idx="15">
                  <c:v>9098.3333333333285</c:v>
                </c:pt>
                <c:pt idx="16">
                  <c:v>9054.1666666666606</c:v>
                </c:pt>
                <c:pt idx="17">
                  <c:v>9009.9999999999945</c:v>
                </c:pt>
                <c:pt idx="18">
                  <c:v>8965.8333333333285</c:v>
                </c:pt>
                <c:pt idx="19">
                  <c:v>8921.6666666666606</c:v>
                </c:pt>
                <c:pt idx="20">
                  <c:v>8877.4999999999927</c:v>
                </c:pt>
                <c:pt idx="21">
                  <c:v>8833.3333333333285</c:v>
                </c:pt>
                <c:pt idx="22">
                  <c:v>8789.1666666666606</c:v>
                </c:pt>
                <c:pt idx="23">
                  <c:v>8744.9999999999927</c:v>
                </c:pt>
                <c:pt idx="24">
                  <c:v>8700.8333333333267</c:v>
                </c:pt>
                <c:pt idx="25">
                  <c:v>9176.0666666666566</c:v>
                </c:pt>
                <c:pt idx="26">
                  <c:v>9129.2499999999891</c:v>
                </c:pt>
                <c:pt idx="27">
                  <c:v>9082.4333333333234</c:v>
                </c:pt>
                <c:pt idx="28">
                  <c:v>9035.6166666666577</c:v>
                </c:pt>
                <c:pt idx="29">
                  <c:v>8988.7999999999884</c:v>
                </c:pt>
                <c:pt idx="30">
                  <c:v>8941.9833333333227</c:v>
                </c:pt>
                <c:pt idx="31">
                  <c:v>8895.166666666657</c:v>
                </c:pt>
                <c:pt idx="32">
                  <c:v>8848.3499999999876</c:v>
                </c:pt>
                <c:pt idx="33">
                  <c:v>8801.5333333333219</c:v>
                </c:pt>
                <c:pt idx="34">
                  <c:v>8754.7166666666562</c:v>
                </c:pt>
                <c:pt idx="35">
                  <c:v>8707.8999999999887</c:v>
                </c:pt>
                <c:pt idx="36">
                  <c:v>8661.0833333333212</c:v>
                </c:pt>
                <c:pt idx="37">
                  <c:v>9131.1226666666516</c:v>
                </c:pt>
                <c:pt idx="38">
                  <c:v>9081.4969999999848</c:v>
                </c:pt>
                <c:pt idx="39">
                  <c:v>9031.871333333318</c:v>
                </c:pt>
                <c:pt idx="40">
                  <c:v>8982.2456666666512</c:v>
                </c:pt>
                <c:pt idx="41">
                  <c:v>8932.6199999999844</c:v>
                </c:pt>
                <c:pt idx="42">
                  <c:v>8882.9943333333176</c:v>
                </c:pt>
                <c:pt idx="43">
                  <c:v>8833.3686666666526</c:v>
                </c:pt>
                <c:pt idx="44">
                  <c:v>8783.7429999999858</c:v>
                </c:pt>
                <c:pt idx="45">
                  <c:v>8734.117333333319</c:v>
                </c:pt>
                <c:pt idx="46">
                  <c:v>8684.4916666666522</c:v>
                </c:pt>
                <c:pt idx="47">
                  <c:v>8634.8659999999873</c:v>
                </c:pt>
                <c:pt idx="48">
                  <c:v>8585.2403333333205</c:v>
                </c:pt>
                <c:pt idx="49">
                  <c:v>9047.7515466666537</c:v>
                </c:pt>
                <c:pt idx="50">
                  <c:v>8995.148339999987</c:v>
                </c:pt>
                <c:pt idx="51">
                  <c:v>8942.5451333333203</c:v>
                </c:pt>
                <c:pt idx="52">
                  <c:v>8889.9419266666537</c:v>
                </c:pt>
                <c:pt idx="53">
                  <c:v>8837.338719999987</c:v>
                </c:pt>
                <c:pt idx="54">
                  <c:v>8784.7355133333203</c:v>
                </c:pt>
                <c:pt idx="55">
                  <c:v>8732.1323066666537</c:v>
                </c:pt>
                <c:pt idx="56">
                  <c:v>8679.529099999987</c:v>
                </c:pt>
                <c:pt idx="57">
                  <c:v>8626.9258933333203</c:v>
                </c:pt>
                <c:pt idx="58">
                  <c:v>8574.3226866666537</c:v>
                </c:pt>
                <c:pt idx="59">
                  <c:v>8521.719479999987</c:v>
                </c:pt>
                <c:pt idx="60">
                  <c:v>8469.1162733333204</c:v>
                </c:pt>
                <c:pt idx="61">
                  <c:v>8921.5038506666515</c:v>
                </c:pt>
                <c:pt idx="62">
                  <c:v>8865.744451599985</c:v>
                </c:pt>
                <c:pt idx="63">
                  <c:v>8809.9850525333204</c:v>
                </c:pt>
                <c:pt idx="64">
                  <c:v>8754.2256534666521</c:v>
                </c:pt>
                <c:pt idx="65">
                  <c:v>8698.4662543999875</c:v>
                </c:pt>
                <c:pt idx="66">
                  <c:v>8642.7068553333193</c:v>
                </c:pt>
                <c:pt idx="67">
                  <c:v>8586.9474562666546</c:v>
                </c:pt>
                <c:pt idx="68">
                  <c:v>8531.1880571999882</c:v>
                </c:pt>
                <c:pt idx="69">
                  <c:v>8475.4286581333217</c:v>
                </c:pt>
                <c:pt idx="70">
                  <c:v>8419.6692590666553</c:v>
                </c:pt>
                <c:pt idx="71">
                  <c:v>8363.9098599999888</c:v>
                </c:pt>
                <c:pt idx="72">
                  <c:v>8308.1504609333224</c:v>
                </c:pt>
                <c:pt idx="73">
                  <c:v>8747.5345255786597</c:v>
                </c:pt>
                <c:pt idx="74">
                  <c:v>8688.4295625679952</c:v>
                </c:pt>
                <c:pt idx="75">
                  <c:v>8629.324599557327</c:v>
                </c:pt>
                <c:pt idx="76">
                  <c:v>8570.2196365466607</c:v>
                </c:pt>
                <c:pt idx="77">
                  <c:v>8511.1146735359944</c:v>
                </c:pt>
                <c:pt idx="78">
                  <c:v>8452.009710525328</c:v>
                </c:pt>
                <c:pt idx="79">
                  <c:v>8392.9047475146617</c:v>
                </c:pt>
                <c:pt idx="80">
                  <c:v>8333.7997845039954</c:v>
                </c:pt>
                <c:pt idx="81">
                  <c:v>8274.6948214933291</c:v>
                </c:pt>
                <c:pt idx="82">
                  <c:v>8215.5898584826609</c:v>
                </c:pt>
                <c:pt idx="83">
                  <c:v>8156.4848954719946</c:v>
                </c:pt>
                <c:pt idx="84">
                  <c:v>8097.3799324613283</c:v>
                </c:pt>
                <c:pt idx="85">
                  <c:v>8520.5714676177049</c:v>
                </c:pt>
                <c:pt idx="86">
                  <c:v>8457.9202068263985</c:v>
                </c:pt>
                <c:pt idx="87">
                  <c:v>8395.2689460350921</c:v>
                </c:pt>
                <c:pt idx="88">
                  <c:v>8332.6176852437857</c:v>
                </c:pt>
                <c:pt idx="89">
                  <c:v>8269.9664244524793</c:v>
                </c:pt>
                <c:pt idx="90">
                  <c:v>8207.3151636611728</c:v>
                </c:pt>
                <c:pt idx="91">
                  <c:v>8144.6639028698664</c:v>
                </c:pt>
                <c:pt idx="92">
                  <c:v>8082.01264207856</c:v>
                </c:pt>
                <c:pt idx="93">
                  <c:v>8019.3613812872527</c:v>
                </c:pt>
                <c:pt idx="94">
                  <c:v>7956.7101204959463</c:v>
                </c:pt>
                <c:pt idx="95">
                  <c:v>7894.0588597046399</c:v>
                </c:pt>
                <c:pt idx="96">
                  <c:v>7831.4075989133335</c:v>
                </c:pt>
                <c:pt idx="97">
                  <c:v>8234.881718409355</c:v>
                </c:pt>
                <c:pt idx="98">
                  <c:v>8168.4713819705694</c:v>
                </c:pt>
                <c:pt idx="99">
                  <c:v>8102.0610455317847</c:v>
                </c:pt>
                <c:pt idx="100">
                  <c:v>8035.650709092999</c:v>
                </c:pt>
                <c:pt idx="101">
                  <c:v>7969.2403726542143</c:v>
                </c:pt>
                <c:pt idx="102">
                  <c:v>7902.8300362154296</c:v>
                </c:pt>
                <c:pt idx="103">
                  <c:v>7836.4196997766439</c:v>
                </c:pt>
                <c:pt idx="104">
                  <c:v>7770.0093633378583</c:v>
                </c:pt>
                <c:pt idx="105">
                  <c:v>7703.5990268990736</c:v>
                </c:pt>
                <c:pt idx="106">
                  <c:v>7637.1886904602889</c:v>
                </c:pt>
                <c:pt idx="107">
                  <c:v>7570.7783540215032</c:v>
                </c:pt>
                <c:pt idx="108">
                  <c:v>7504.3680175827185</c:v>
                </c:pt>
                <c:pt idx="109">
                  <c:v>7884.2351420125688</c:v>
                </c:pt>
                <c:pt idx="110">
                  <c:v>7813.8401853874566</c:v>
                </c:pt>
                <c:pt idx="111">
                  <c:v>7743.4452287623444</c:v>
                </c:pt>
                <c:pt idx="112">
                  <c:v>7673.0502721372313</c:v>
                </c:pt>
                <c:pt idx="113">
                  <c:v>7602.6553155121192</c:v>
                </c:pt>
                <c:pt idx="114">
                  <c:v>7532.260358887007</c:v>
                </c:pt>
                <c:pt idx="115">
                  <c:v>7461.8654022618948</c:v>
                </c:pt>
                <c:pt idx="116">
                  <c:v>7391.4704456367826</c:v>
                </c:pt>
                <c:pt idx="117">
                  <c:v>7321.0754890116705</c:v>
                </c:pt>
                <c:pt idx="118">
                  <c:v>7250.6805323865583</c:v>
                </c:pt>
                <c:pt idx="119">
                  <c:v>7180.2855757614461</c:v>
                </c:pt>
                <c:pt idx="120">
                  <c:v>7109.890619136334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5-4F26-A56C-8CCF92FB8445}"/>
            </c:ext>
          </c:extLst>
        </c:ser>
        <c:ser>
          <c:idx val="1"/>
          <c:order val="1"/>
          <c:tx>
            <c:strRef>
              <c:f>'Amortização + corr monetária'!$C$11</c:f>
              <c:strCache>
                <c:ptCount val="1"/>
                <c:pt idx="0">
                  <c:v>Juros</c:v>
                </c:pt>
              </c:strCache>
            </c:strRef>
          </c:tx>
          <c:spPr>
            <a:ln w="34925" cap="rnd">
              <a:solidFill>
                <a:srgbClr val="C0504D"/>
              </a:solidFill>
              <a:round/>
            </a:ln>
          </c:spPr>
          <c:marker>
            <c:symbol val="none"/>
          </c:marker>
          <c:xVal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'Amortização + corr monetária'!$C$12:$C$132</c:f>
              <c:numCache>
                <c:formatCode>#,##0.00_);\(#,##0.00\)</c:formatCode>
                <c:ptCount val="121"/>
                <c:pt idx="1">
                  <c:v>5000</c:v>
                </c:pt>
                <c:pt idx="2">
                  <c:v>4958.333333333333</c:v>
                </c:pt>
                <c:pt idx="3">
                  <c:v>4916.6666666666661</c:v>
                </c:pt>
                <c:pt idx="4">
                  <c:v>4874.9999999999991</c:v>
                </c:pt>
                <c:pt idx="5">
                  <c:v>4833.333333333333</c:v>
                </c:pt>
                <c:pt idx="6">
                  <c:v>4791.6666666666661</c:v>
                </c:pt>
                <c:pt idx="7">
                  <c:v>4749.9999999999991</c:v>
                </c:pt>
                <c:pt idx="8">
                  <c:v>4708.3333333333321</c:v>
                </c:pt>
                <c:pt idx="9">
                  <c:v>4666.6666666666652</c:v>
                </c:pt>
                <c:pt idx="10">
                  <c:v>4624.9999999999982</c:v>
                </c:pt>
                <c:pt idx="11">
                  <c:v>4583.3333333333312</c:v>
                </c:pt>
                <c:pt idx="12">
                  <c:v>4541.6666666666642</c:v>
                </c:pt>
                <c:pt idx="13">
                  <c:v>4769.9999999999982</c:v>
                </c:pt>
                <c:pt idx="14">
                  <c:v>4725.8333333333312</c:v>
                </c:pt>
                <c:pt idx="15">
                  <c:v>4681.6666666666642</c:v>
                </c:pt>
                <c:pt idx="16">
                  <c:v>4637.4999999999973</c:v>
                </c:pt>
                <c:pt idx="17">
                  <c:v>4593.3333333333303</c:v>
                </c:pt>
                <c:pt idx="18">
                  <c:v>4549.1666666666633</c:v>
                </c:pt>
                <c:pt idx="19">
                  <c:v>4504.9999999999964</c:v>
                </c:pt>
                <c:pt idx="20">
                  <c:v>4460.8333333333294</c:v>
                </c:pt>
                <c:pt idx="21">
                  <c:v>4416.6666666666633</c:v>
                </c:pt>
                <c:pt idx="22">
                  <c:v>4372.4999999999964</c:v>
                </c:pt>
                <c:pt idx="23">
                  <c:v>4328.3333333333294</c:v>
                </c:pt>
                <c:pt idx="24">
                  <c:v>4284.1666666666624</c:v>
                </c:pt>
                <c:pt idx="25">
                  <c:v>4494.3999999999951</c:v>
                </c:pt>
                <c:pt idx="26">
                  <c:v>4447.5833333333285</c:v>
                </c:pt>
                <c:pt idx="27">
                  <c:v>4400.7666666666619</c:v>
                </c:pt>
                <c:pt idx="28">
                  <c:v>4353.9499999999953</c:v>
                </c:pt>
                <c:pt idx="29">
                  <c:v>4307.1333333333278</c:v>
                </c:pt>
                <c:pt idx="30">
                  <c:v>4260.3166666666611</c:v>
                </c:pt>
                <c:pt idx="31">
                  <c:v>4213.4999999999945</c:v>
                </c:pt>
                <c:pt idx="32">
                  <c:v>4166.683333333327</c:v>
                </c:pt>
                <c:pt idx="33">
                  <c:v>4119.8666666666604</c:v>
                </c:pt>
                <c:pt idx="34">
                  <c:v>4073.0499999999938</c:v>
                </c:pt>
                <c:pt idx="35">
                  <c:v>4026.2333333333268</c:v>
                </c:pt>
                <c:pt idx="36">
                  <c:v>3979.4166666666601</c:v>
                </c:pt>
                <c:pt idx="37">
                  <c:v>4168.5559999999932</c:v>
                </c:pt>
                <c:pt idx="38">
                  <c:v>4118.9303333333264</c:v>
                </c:pt>
                <c:pt idx="39">
                  <c:v>4069.3046666666601</c:v>
                </c:pt>
                <c:pt idx="40">
                  <c:v>4019.6789999999933</c:v>
                </c:pt>
                <c:pt idx="41">
                  <c:v>3970.0533333333269</c:v>
                </c:pt>
                <c:pt idx="42">
                  <c:v>3920.4276666666601</c:v>
                </c:pt>
                <c:pt idx="43">
                  <c:v>3870.8019999999938</c:v>
                </c:pt>
                <c:pt idx="44">
                  <c:v>3821.1763333333274</c:v>
                </c:pt>
                <c:pt idx="45">
                  <c:v>3771.5506666666606</c:v>
                </c:pt>
                <c:pt idx="46">
                  <c:v>3721.9249999999943</c:v>
                </c:pt>
                <c:pt idx="47">
                  <c:v>3672.2993333333279</c:v>
                </c:pt>
                <c:pt idx="48">
                  <c:v>3622.6736666666611</c:v>
                </c:pt>
                <c:pt idx="49">
                  <c:v>3787.4308799999949</c:v>
                </c:pt>
                <c:pt idx="50">
                  <c:v>3734.8276733333282</c:v>
                </c:pt>
                <c:pt idx="51">
                  <c:v>3682.2244666666616</c:v>
                </c:pt>
                <c:pt idx="52">
                  <c:v>3629.6212599999949</c:v>
                </c:pt>
                <c:pt idx="53">
                  <c:v>3577.0180533333282</c:v>
                </c:pt>
                <c:pt idx="54">
                  <c:v>3524.4148466666616</c:v>
                </c:pt>
                <c:pt idx="55">
                  <c:v>3471.8116399999949</c:v>
                </c:pt>
                <c:pt idx="56">
                  <c:v>3419.2084333333282</c:v>
                </c:pt>
                <c:pt idx="57">
                  <c:v>3366.6052266666616</c:v>
                </c:pt>
                <c:pt idx="58">
                  <c:v>3314.0020199999949</c:v>
                </c:pt>
                <c:pt idx="59">
                  <c:v>3261.3988133333282</c:v>
                </c:pt>
                <c:pt idx="60">
                  <c:v>3208.7956066666616</c:v>
                </c:pt>
                <c:pt idx="61">
                  <c:v>3345.5639439999945</c:v>
                </c:pt>
                <c:pt idx="62">
                  <c:v>3289.8045449333285</c:v>
                </c:pt>
                <c:pt idx="63">
                  <c:v>3234.0451458666621</c:v>
                </c:pt>
                <c:pt idx="64">
                  <c:v>3178.2857467999956</c:v>
                </c:pt>
                <c:pt idx="65">
                  <c:v>3122.5263477333292</c:v>
                </c:pt>
                <c:pt idx="66">
                  <c:v>3066.7669486666628</c:v>
                </c:pt>
                <c:pt idx="67">
                  <c:v>3011.0075495999963</c:v>
                </c:pt>
                <c:pt idx="68">
                  <c:v>2955.2481505333303</c:v>
                </c:pt>
                <c:pt idx="69">
                  <c:v>2899.4887514666639</c:v>
                </c:pt>
                <c:pt idx="70">
                  <c:v>2843.7293523999974</c:v>
                </c:pt>
                <c:pt idx="71">
                  <c:v>2787.969953333331</c:v>
                </c:pt>
                <c:pt idx="72">
                  <c:v>2732.2105542666645</c:v>
                </c:pt>
                <c:pt idx="73">
                  <c:v>2837.0382245119981</c:v>
                </c:pt>
                <c:pt idx="74">
                  <c:v>2777.9332615013318</c:v>
                </c:pt>
                <c:pt idx="75">
                  <c:v>2718.828298490665</c:v>
                </c:pt>
                <c:pt idx="76">
                  <c:v>2659.7233354799987</c:v>
                </c:pt>
                <c:pt idx="77">
                  <c:v>2600.6183724693319</c:v>
                </c:pt>
                <c:pt idx="78">
                  <c:v>2541.5134094586656</c:v>
                </c:pt>
                <c:pt idx="79">
                  <c:v>2482.4084464479988</c:v>
                </c:pt>
                <c:pt idx="80">
                  <c:v>2423.3034834373325</c:v>
                </c:pt>
                <c:pt idx="81">
                  <c:v>2364.1985204266657</c:v>
                </c:pt>
                <c:pt idx="82">
                  <c:v>2305.0935574159994</c:v>
                </c:pt>
                <c:pt idx="83">
                  <c:v>2245.9885944053326</c:v>
                </c:pt>
                <c:pt idx="84">
                  <c:v>2186.8836313946663</c:v>
                </c:pt>
                <c:pt idx="85">
                  <c:v>2255.4453884870395</c:v>
                </c:pt>
                <c:pt idx="86">
                  <c:v>2192.7941276957331</c:v>
                </c:pt>
                <c:pt idx="87">
                  <c:v>2130.1428669044267</c:v>
                </c:pt>
                <c:pt idx="88">
                  <c:v>2067.4916061131198</c:v>
                </c:pt>
                <c:pt idx="89">
                  <c:v>2004.8403453218134</c:v>
                </c:pt>
                <c:pt idx="90">
                  <c:v>1942.1890845305068</c:v>
                </c:pt>
                <c:pt idx="91">
                  <c:v>1879.5378237392003</c:v>
                </c:pt>
                <c:pt idx="92">
                  <c:v>1816.8865629478937</c:v>
                </c:pt>
                <c:pt idx="93">
                  <c:v>1754.2353021565871</c:v>
                </c:pt>
                <c:pt idx="94">
                  <c:v>1691.5840413652807</c:v>
                </c:pt>
                <c:pt idx="95">
                  <c:v>1628.932780573974</c:v>
                </c:pt>
                <c:pt idx="96">
                  <c:v>1566.2815197826676</c:v>
                </c:pt>
                <c:pt idx="97">
                  <c:v>1593.8480745308427</c:v>
                </c:pt>
                <c:pt idx="98">
                  <c:v>1527.4377380920578</c:v>
                </c:pt>
                <c:pt idx="99">
                  <c:v>1461.0274016532728</c:v>
                </c:pt>
                <c:pt idx="100">
                  <c:v>1394.6170652144876</c:v>
                </c:pt>
                <c:pt idx="101">
                  <c:v>1328.2067287757027</c:v>
                </c:pt>
                <c:pt idx="102">
                  <c:v>1261.7963923369175</c:v>
                </c:pt>
                <c:pt idx="103">
                  <c:v>1195.3860558981323</c:v>
                </c:pt>
                <c:pt idx="104">
                  <c:v>1128.9757194593471</c:v>
                </c:pt>
                <c:pt idx="105">
                  <c:v>1062.565383020562</c:v>
                </c:pt>
                <c:pt idx="106">
                  <c:v>996.1550465817769</c:v>
                </c:pt>
                <c:pt idx="107">
                  <c:v>929.74471014299172</c:v>
                </c:pt>
                <c:pt idx="108">
                  <c:v>863.33437370420654</c:v>
                </c:pt>
                <c:pt idx="109">
                  <c:v>844.73947950134664</c:v>
                </c:pt>
                <c:pt idx="110">
                  <c:v>774.34452287623446</c:v>
                </c:pt>
                <c:pt idx="111">
                  <c:v>703.94956625112218</c:v>
                </c:pt>
                <c:pt idx="112">
                  <c:v>633.55460962600989</c:v>
                </c:pt>
                <c:pt idx="113">
                  <c:v>563.15965300089772</c:v>
                </c:pt>
                <c:pt idx="114">
                  <c:v>492.76469637578543</c:v>
                </c:pt>
                <c:pt idx="115">
                  <c:v>422.3697397506732</c:v>
                </c:pt>
                <c:pt idx="116">
                  <c:v>351.97478312556092</c:v>
                </c:pt>
                <c:pt idx="117">
                  <c:v>281.57982650044875</c:v>
                </c:pt>
                <c:pt idx="118">
                  <c:v>211.18486987533652</c:v>
                </c:pt>
                <c:pt idx="119">
                  <c:v>140.78991325022432</c:v>
                </c:pt>
                <c:pt idx="120">
                  <c:v>70.394956625112087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45-4F26-A56C-8CCF92FB8445}"/>
            </c:ext>
          </c:extLst>
        </c:ser>
        <c:ser>
          <c:idx val="2"/>
          <c:order val="2"/>
          <c:tx>
            <c:strRef>
              <c:f>'Amortização + corr monetária'!$D$11</c:f>
              <c:strCache>
                <c:ptCount val="1"/>
                <c:pt idx="0">
                  <c:v>Amortização</c:v>
                </c:pt>
              </c:strCache>
            </c:strRef>
          </c:tx>
          <c:spPr>
            <a:ln w="34925" cap="rnd">
              <a:solidFill>
                <a:srgbClr val="9BBB59"/>
              </a:solidFill>
              <a:round/>
            </a:ln>
          </c:spPr>
          <c:marker>
            <c:symbol val="none"/>
          </c:marker>
          <c:xVal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'Amortização + corr monetária'!$D$12:$D$132</c:f>
              <c:numCache>
                <c:formatCode>#,##0.00_);\(#,##0.00\)</c:formatCode>
                <c:ptCount val="121"/>
                <c:pt idx="1">
                  <c:v>4166.666666666667</c:v>
                </c:pt>
                <c:pt idx="2">
                  <c:v>4166.666666666667</c:v>
                </c:pt>
                <c:pt idx="3">
                  <c:v>4166.666666666667</c:v>
                </c:pt>
                <c:pt idx="4">
                  <c:v>4166.666666666667</c:v>
                </c:pt>
                <c:pt idx="5">
                  <c:v>4166.666666666667</c:v>
                </c:pt>
                <c:pt idx="6">
                  <c:v>4166.666666666667</c:v>
                </c:pt>
                <c:pt idx="7">
                  <c:v>4166.666666666667</c:v>
                </c:pt>
                <c:pt idx="8">
                  <c:v>4166.666666666667</c:v>
                </c:pt>
                <c:pt idx="9">
                  <c:v>4166.666666666667</c:v>
                </c:pt>
                <c:pt idx="10">
                  <c:v>4166.666666666667</c:v>
                </c:pt>
                <c:pt idx="11">
                  <c:v>4166.666666666667</c:v>
                </c:pt>
                <c:pt idx="12">
                  <c:v>4166.666666666667</c:v>
                </c:pt>
                <c:pt idx="13">
                  <c:v>4416.6666666666642</c:v>
                </c:pt>
                <c:pt idx="14">
                  <c:v>4416.6666666666642</c:v>
                </c:pt>
                <c:pt idx="15">
                  <c:v>4416.6666666666642</c:v>
                </c:pt>
                <c:pt idx="16">
                  <c:v>4416.6666666666642</c:v>
                </c:pt>
                <c:pt idx="17">
                  <c:v>4416.6666666666642</c:v>
                </c:pt>
                <c:pt idx="18">
                  <c:v>4416.6666666666642</c:v>
                </c:pt>
                <c:pt idx="19">
                  <c:v>4416.6666666666642</c:v>
                </c:pt>
                <c:pt idx="20">
                  <c:v>4416.6666666666642</c:v>
                </c:pt>
                <c:pt idx="21">
                  <c:v>4416.6666666666642</c:v>
                </c:pt>
                <c:pt idx="22">
                  <c:v>4416.6666666666642</c:v>
                </c:pt>
                <c:pt idx="23">
                  <c:v>4416.6666666666642</c:v>
                </c:pt>
                <c:pt idx="24">
                  <c:v>4416.6666666666642</c:v>
                </c:pt>
                <c:pt idx="25">
                  <c:v>4681.6666666666615</c:v>
                </c:pt>
                <c:pt idx="26">
                  <c:v>4681.6666666666615</c:v>
                </c:pt>
                <c:pt idx="27">
                  <c:v>4681.6666666666615</c:v>
                </c:pt>
                <c:pt idx="28">
                  <c:v>4681.6666666666615</c:v>
                </c:pt>
                <c:pt idx="29">
                  <c:v>4681.6666666666615</c:v>
                </c:pt>
                <c:pt idx="30">
                  <c:v>4681.6666666666615</c:v>
                </c:pt>
                <c:pt idx="31">
                  <c:v>4681.6666666666615</c:v>
                </c:pt>
                <c:pt idx="32">
                  <c:v>4681.6666666666615</c:v>
                </c:pt>
                <c:pt idx="33">
                  <c:v>4681.6666666666615</c:v>
                </c:pt>
                <c:pt idx="34">
                  <c:v>4681.6666666666615</c:v>
                </c:pt>
                <c:pt idx="35">
                  <c:v>4681.6666666666615</c:v>
                </c:pt>
                <c:pt idx="36">
                  <c:v>4681.6666666666615</c:v>
                </c:pt>
                <c:pt idx="37">
                  <c:v>4962.5666666666584</c:v>
                </c:pt>
                <c:pt idx="38">
                  <c:v>4962.5666666666584</c:v>
                </c:pt>
                <c:pt idx="39">
                  <c:v>4962.5666666666584</c:v>
                </c:pt>
                <c:pt idx="40">
                  <c:v>4962.5666666666584</c:v>
                </c:pt>
                <c:pt idx="41">
                  <c:v>4962.5666666666584</c:v>
                </c:pt>
                <c:pt idx="42">
                  <c:v>4962.5666666666584</c:v>
                </c:pt>
                <c:pt idx="43">
                  <c:v>4962.5666666666584</c:v>
                </c:pt>
                <c:pt idx="44">
                  <c:v>4962.5666666666584</c:v>
                </c:pt>
                <c:pt idx="45">
                  <c:v>4962.5666666666584</c:v>
                </c:pt>
                <c:pt idx="46">
                  <c:v>4962.5666666666584</c:v>
                </c:pt>
                <c:pt idx="47">
                  <c:v>4962.5666666666584</c:v>
                </c:pt>
                <c:pt idx="48">
                  <c:v>4962.5666666666584</c:v>
                </c:pt>
                <c:pt idx="49">
                  <c:v>5260.3206666666592</c:v>
                </c:pt>
                <c:pt idx="50">
                  <c:v>5260.3206666666592</c:v>
                </c:pt>
                <c:pt idx="51">
                  <c:v>5260.3206666666592</c:v>
                </c:pt>
                <c:pt idx="52">
                  <c:v>5260.3206666666592</c:v>
                </c:pt>
                <c:pt idx="53">
                  <c:v>5260.3206666666592</c:v>
                </c:pt>
                <c:pt idx="54">
                  <c:v>5260.3206666666592</c:v>
                </c:pt>
                <c:pt idx="55">
                  <c:v>5260.3206666666592</c:v>
                </c:pt>
                <c:pt idx="56">
                  <c:v>5260.3206666666592</c:v>
                </c:pt>
                <c:pt idx="57">
                  <c:v>5260.3206666666592</c:v>
                </c:pt>
                <c:pt idx="58">
                  <c:v>5260.3206666666592</c:v>
                </c:pt>
                <c:pt idx="59">
                  <c:v>5260.3206666666592</c:v>
                </c:pt>
                <c:pt idx="60">
                  <c:v>5260.3206666666592</c:v>
                </c:pt>
                <c:pt idx="61">
                  <c:v>5575.9399066666574</c:v>
                </c:pt>
                <c:pt idx="62">
                  <c:v>5575.9399066666574</c:v>
                </c:pt>
                <c:pt idx="63">
                  <c:v>5575.9399066666574</c:v>
                </c:pt>
                <c:pt idx="64">
                  <c:v>5575.9399066666574</c:v>
                </c:pt>
                <c:pt idx="65">
                  <c:v>5575.9399066666574</c:v>
                </c:pt>
                <c:pt idx="66">
                  <c:v>5575.9399066666574</c:v>
                </c:pt>
                <c:pt idx="67">
                  <c:v>5575.9399066666574</c:v>
                </c:pt>
                <c:pt idx="68">
                  <c:v>5575.9399066666574</c:v>
                </c:pt>
                <c:pt idx="69">
                  <c:v>5575.9399066666574</c:v>
                </c:pt>
                <c:pt idx="70">
                  <c:v>5575.9399066666574</c:v>
                </c:pt>
                <c:pt idx="71">
                  <c:v>5575.9399066666574</c:v>
                </c:pt>
                <c:pt idx="72">
                  <c:v>5575.9399066666574</c:v>
                </c:pt>
                <c:pt idx="73">
                  <c:v>5910.4963010666625</c:v>
                </c:pt>
                <c:pt idx="74">
                  <c:v>5910.4963010666625</c:v>
                </c:pt>
                <c:pt idx="75">
                  <c:v>5910.4963010666625</c:v>
                </c:pt>
                <c:pt idx="76">
                  <c:v>5910.4963010666625</c:v>
                </c:pt>
                <c:pt idx="77">
                  <c:v>5910.4963010666625</c:v>
                </c:pt>
                <c:pt idx="78">
                  <c:v>5910.4963010666625</c:v>
                </c:pt>
                <c:pt idx="79">
                  <c:v>5910.4963010666625</c:v>
                </c:pt>
                <c:pt idx="80">
                  <c:v>5910.4963010666625</c:v>
                </c:pt>
                <c:pt idx="81">
                  <c:v>5910.4963010666625</c:v>
                </c:pt>
                <c:pt idx="82">
                  <c:v>5910.4963010666625</c:v>
                </c:pt>
                <c:pt idx="83">
                  <c:v>5910.4963010666625</c:v>
                </c:pt>
                <c:pt idx="84">
                  <c:v>5910.4963010666625</c:v>
                </c:pt>
                <c:pt idx="85">
                  <c:v>6265.1260791306659</c:v>
                </c:pt>
                <c:pt idx="86">
                  <c:v>6265.1260791306659</c:v>
                </c:pt>
                <c:pt idx="87">
                  <c:v>6265.1260791306659</c:v>
                </c:pt>
                <c:pt idx="88">
                  <c:v>6265.1260791306659</c:v>
                </c:pt>
                <c:pt idx="89">
                  <c:v>6265.1260791306659</c:v>
                </c:pt>
                <c:pt idx="90">
                  <c:v>6265.1260791306659</c:v>
                </c:pt>
                <c:pt idx="91">
                  <c:v>6265.1260791306659</c:v>
                </c:pt>
                <c:pt idx="92">
                  <c:v>6265.1260791306659</c:v>
                </c:pt>
                <c:pt idx="93">
                  <c:v>6265.1260791306659</c:v>
                </c:pt>
                <c:pt idx="94">
                  <c:v>6265.1260791306659</c:v>
                </c:pt>
                <c:pt idx="95">
                  <c:v>6265.1260791306659</c:v>
                </c:pt>
                <c:pt idx="96">
                  <c:v>6265.1260791306659</c:v>
                </c:pt>
                <c:pt idx="97">
                  <c:v>6641.0336438785116</c:v>
                </c:pt>
                <c:pt idx="98">
                  <c:v>6641.0336438785116</c:v>
                </c:pt>
                <c:pt idx="99">
                  <c:v>6641.0336438785116</c:v>
                </c:pt>
                <c:pt idx="100">
                  <c:v>6641.0336438785116</c:v>
                </c:pt>
                <c:pt idx="101">
                  <c:v>6641.0336438785116</c:v>
                </c:pt>
                <c:pt idx="102">
                  <c:v>6641.0336438785116</c:v>
                </c:pt>
                <c:pt idx="103">
                  <c:v>6641.0336438785116</c:v>
                </c:pt>
                <c:pt idx="104">
                  <c:v>6641.0336438785116</c:v>
                </c:pt>
                <c:pt idx="105">
                  <c:v>6641.0336438785116</c:v>
                </c:pt>
                <c:pt idx="106">
                  <c:v>6641.0336438785116</c:v>
                </c:pt>
                <c:pt idx="107">
                  <c:v>6641.0336438785116</c:v>
                </c:pt>
                <c:pt idx="108">
                  <c:v>6641.0336438785116</c:v>
                </c:pt>
                <c:pt idx="109">
                  <c:v>7039.4956625112218</c:v>
                </c:pt>
                <c:pt idx="110">
                  <c:v>7039.4956625112218</c:v>
                </c:pt>
                <c:pt idx="111">
                  <c:v>7039.4956625112218</c:v>
                </c:pt>
                <c:pt idx="112">
                  <c:v>7039.4956625112218</c:v>
                </c:pt>
                <c:pt idx="113">
                  <c:v>7039.4956625112218</c:v>
                </c:pt>
                <c:pt idx="114">
                  <c:v>7039.4956625112218</c:v>
                </c:pt>
                <c:pt idx="115">
                  <c:v>7039.4956625112218</c:v>
                </c:pt>
                <c:pt idx="116">
                  <c:v>7039.4956625112218</c:v>
                </c:pt>
                <c:pt idx="117">
                  <c:v>7039.4956625112218</c:v>
                </c:pt>
                <c:pt idx="118">
                  <c:v>7039.4956625112218</c:v>
                </c:pt>
                <c:pt idx="119">
                  <c:v>7039.4956625112218</c:v>
                </c:pt>
                <c:pt idx="120">
                  <c:v>7039.4956625112218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5-4F26-A56C-8CCF92FB8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13062"/>
        <c:axId val="94379558"/>
      </c:scatterChart>
      <c:valAx>
        <c:axId val="56713062"/>
        <c:scaling>
          <c:orientation val="minMax"/>
          <c:max val="1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pt-BR"/>
          </a:p>
        </c:txPr>
        <c:crossAx val="94379558"/>
        <c:crosses val="autoZero"/>
        <c:crossBetween val="midCat"/>
      </c:valAx>
      <c:valAx>
        <c:axId val="943795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pt-BR"/>
          </a:p>
        </c:txPr>
        <c:crossAx val="56713062"/>
        <c:crosses val="autoZero"/>
        <c:crossBetween val="midCat"/>
      </c:valAx>
      <c:spPr>
        <a:noFill/>
        <a:ln w="15840">
          <a:solidFill>
            <a:srgbClr val="000000"/>
          </a:solidFill>
          <a:round/>
        </a:ln>
      </c:spPr>
    </c:plotArea>
    <c:legend>
      <c:legendPos val="t"/>
      <c:layout>
        <c:manualLayout>
          <c:xMode val="edge"/>
          <c:yMode val="edge"/>
          <c:x val="0.52775871035069699"/>
          <c:y val="0.11362030978990248"/>
          <c:w val="0.3901508633320005"/>
          <c:h val="4.5390095935034278E-2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400" b="0" strike="noStrike" spc="-1">
              <a:solidFill>
                <a:srgbClr val="595959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1679" b="0" strike="noStrike" spc="-1">
                <a:solidFill>
                  <a:srgbClr val="595959"/>
                </a:solidFill>
                <a:latin typeface="Arial"/>
              </a:defRPr>
            </a:pPr>
            <a:r>
              <a:rPr lang="pt-BR" sz="1679" b="0" strike="noStrike" spc="-1">
                <a:solidFill>
                  <a:srgbClr val="595959"/>
                </a:solidFill>
                <a:latin typeface="Arial"/>
              </a:rPr>
              <a:t>Sistema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'Amortização + corr monetária'!$I$11</c:f>
              <c:strCache>
                <c:ptCount val="1"/>
                <c:pt idx="0">
                  <c:v>Prestação</c:v>
                </c:pt>
              </c:strCache>
            </c:strRef>
          </c:tx>
          <c:spPr>
            <a:ln w="34925" cap="rnd">
              <a:solidFill>
                <a:srgbClr val="4F81BD"/>
              </a:solidFill>
              <a:round/>
            </a:ln>
          </c:spPr>
          <c:marker>
            <c:symbol val="none"/>
          </c:marker>
          <c:xVal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'Amortização + corr monetária'!$I$12:$I$132</c:f>
              <c:numCache>
                <c:formatCode>#,##0.00_);[Red]\(#,##0.00\)</c:formatCode>
                <c:ptCount val="121"/>
                <c:pt idx="1">
                  <c:v>7173.5474201293691</c:v>
                </c:pt>
                <c:pt idx="2">
                  <c:v>7173.5474201293691</c:v>
                </c:pt>
                <c:pt idx="3">
                  <c:v>7173.5474201293691</c:v>
                </c:pt>
                <c:pt idx="4">
                  <c:v>7173.5474201293691</c:v>
                </c:pt>
                <c:pt idx="5">
                  <c:v>7173.5474201293691</c:v>
                </c:pt>
                <c:pt idx="6">
                  <c:v>7173.5474201293691</c:v>
                </c:pt>
                <c:pt idx="7">
                  <c:v>7173.5474201293691</c:v>
                </c:pt>
                <c:pt idx="8">
                  <c:v>7173.5474201293691</c:v>
                </c:pt>
                <c:pt idx="9">
                  <c:v>7173.5474201293691</c:v>
                </c:pt>
                <c:pt idx="10">
                  <c:v>7173.5474201293691</c:v>
                </c:pt>
                <c:pt idx="11">
                  <c:v>7173.5474201293691</c:v>
                </c:pt>
                <c:pt idx="12">
                  <c:v>7173.5474201293691</c:v>
                </c:pt>
                <c:pt idx="13">
                  <c:v>7603.9602653371312</c:v>
                </c:pt>
                <c:pt idx="14">
                  <c:v>7603.9602653371312</c:v>
                </c:pt>
                <c:pt idx="15">
                  <c:v>7603.9602653371312</c:v>
                </c:pt>
                <c:pt idx="16">
                  <c:v>7603.9602653371312</c:v>
                </c:pt>
                <c:pt idx="17">
                  <c:v>7603.9602653371312</c:v>
                </c:pt>
                <c:pt idx="18">
                  <c:v>7603.9602653371312</c:v>
                </c:pt>
                <c:pt idx="19">
                  <c:v>7603.9602653371312</c:v>
                </c:pt>
                <c:pt idx="20">
                  <c:v>7603.9602653371312</c:v>
                </c:pt>
                <c:pt idx="21">
                  <c:v>7603.9602653371312</c:v>
                </c:pt>
                <c:pt idx="22">
                  <c:v>7603.9602653371312</c:v>
                </c:pt>
                <c:pt idx="23">
                  <c:v>7603.9602653371312</c:v>
                </c:pt>
                <c:pt idx="24">
                  <c:v>7603.9602653371312</c:v>
                </c:pt>
                <c:pt idx="25">
                  <c:v>8060.1978812573607</c:v>
                </c:pt>
                <c:pt idx="26">
                  <c:v>8060.1978812573607</c:v>
                </c:pt>
                <c:pt idx="27">
                  <c:v>8060.1978812573607</c:v>
                </c:pt>
                <c:pt idx="28">
                  <c:v>8060.1978812573607</c:v>
                </c:pt>
                <c:pt idx="29">
                  <c:v>8060.1978812573607</c:v>
                </c:pt>
                <c:pt idx="30">
                  <c:v>8060.1978812573607</c:v>
                </c:pt>
                <c:pt idx="31">
                  <c:v>8060.1978812573607</c:v>
                </c:pt>
                <c:pt idx="32">
                  <c:v>8060.1978812573607</c:v>
                </c:pt>
                <c:pt idx="33">
                  <c:v>8060.1978812573607</c:v>
                </c:pt>
                <c:pt idx="34">
                  <c:v>8060.1978812573607</c:v>
                </c:pt>
                <c:pt idx="35">
                  <c:v>8060.1978812573607</c:v>
                </c:pt>
                <c:pt idx="36">
                  <c:v>8060.1978812573607</c:v>
                </c:pt>
                <c:pt idx="37">
                  <c:v>8543.8097541328007</c:v>
                </c:pt>
                <c:pt idx="38">
                  <c:v>8543.8097541328007</c:v>
                </c:pt>
                <c:pt idx="39">
                  <c:v>8543.8097541328007</c:v>
                </c:pt>
                <c:pt idx="40">
                  <c:v>8543.8097541328007</c:v>
                </c:pt>
                <c:pt idx="41">
                  <c:v>8543.8097541328007</c:v>
                </c:pt>
                <c:pt idx="42">
                  <c:v>8543.8097541328007</c:v>
                </c:pt>
                <c:pt idx="43">
                  <c:v>8543.8097541328007</c:v>
                </c:pt>
                <c:pt idx="44">
                  <c:v>8543.8097541328007</c:v>
                </c:pt>
                <c:pt idx="45">
                  <c:v>8543.8097541328007</c:v>
                </c:pt>
                <c:pt idx="46">
                  <c:v>8543.8097541328007</c:v>
                </c:pt>
                <c:pt idx="47">
                  <c:v>8543.8097541328007</c:v>
                </c:pt>
                <c:pt idx="48">
                  <c:v>8543.8097541328007</c:v>
                </c:pt>
                <c:pt idx="49">
                  <c:v>9056.4383393807693</c:v>
                </c:pt>
                <c:pt idx="50">
                  <c:v>9056.4383393807693</c:v>
                </c:pt>
                <c:pt idx="51">
                  <c:v>9056.4383393807693</c:v>
                </c:pt>
                <c:pt idx="52">
                  <c:v>9056.4383393807693</c:v>
                </c:pt>
                <c:pt idx="53">
                  <c:v>9056.4383393807693</c:v>
                </c:pt>
                <c:pt idx="54">
                  <c:v>9056.4383393807693</c:v>
                </c:pt>
                <c:pt idx="55">
                  <c:v>9056.4383393807693</c:v>
                </c:pt>
                <c:pt idx="56">
                  <c:v>9056.4383393807693</c:v>
                </c:pt>
                <c:pt idx="57">
                  <c:v>9056.4383393807693</c:v>
                </c:pt>
                <c:pt idx="58">
                  <c:v>9056.4383393807693</c:v>
                </c:pt>
                <c:pt idx="59">
                  <c:v>9056.4383393807693</c:v>
                </c:pt>
                <c:pt idx="60">
                  <c:v>9056.4383393807693</c:v>
                </c:pt>
                <c:pt idx="61">
                  <c:v>9599.824639743616</c:v>
                </c:pt>
                <c:pt idx="62">
                  <c:v>9599.824639743616</c:v>
                </c:pt>
                <c:pt idx="63">
                  <c:v>9599.824639743616</c:v>
                </c:pt>
                <c:pt idx="64">
                  <c:v>9599.824639743616</c:v>
                </c:pt>
                <c:pt idx="65">
                  <c:v>9599.824639743616</c:v>
                </c:pt>
                <c:pt idx="66">
                  <c:v>9599.824639743616</c:v>
                </c:pt>
                <c:pt idx="67">
                  <c:v>9599.824639743616</c:v>
                </c:pt>
                <c:pt idx="68">
                  <c:v>9599.824639743616</c:v>
                </c:pt>
                <c:pt idx="69">
                  <c:v>9599.824639743616</c:v>
                </c:pt>
                <c:pt idx="70">
                  <c:v>9599.824639743616</c:v>
                </c:pt>
                <c:pt idx="71">
                  <c:v>9599.824639743616</c:v>
                </c:pt>
                <c:pt idx="72">
                  <c:v>9599.824639743616</c:v>
                </c:pt>
                <c:pt idx="73">
                  <c:v>10175.814118128237</c:v>
                </c:pt>
                <c:pt idx="74">
                  <c:v>10175.814118128237</c:v>
                </c:pt>
                <c:pt idx="75">
                  <c:v>10175.814118128237</c:v>
                </c:pt>
                <c:pt idx="76">
                  <c:v>10175.814118128237</c:v>
                </c:pt>
                <c:pt idx="77">
                  <c:v>10175.814118128237</c:v>
                </c:pt>
                <c:pt idx="78">
                  <c:v>10175.814118128237</c:v>
                </c:pt>
                <c:pt idx="79">
                  <c:v>10175.814118128237</c:v>
                </c:pt>
                <c:pt idx="80">
                  <c:v>10175.814118128237</c:v>
                </c:pt>
                <c:pt idx="81">
                  <c:v>10175.814118128237</c:v>
                </c:pt>
                <c:pt idx="82">
                  <c:v>10175.814118128237</c:v>
                </c:pt>
                <c:pt idx="83">
                  <c:v>10175.814118128237</c:v>
                </c:pt>
                <c:pt idx="84">
                  <c:v>10175.814118128237</c:v>
                </c:pt>
                <c:pt idx="85">
                  <c:v>10786.362965215927</c:v>
                </c:pt>
                <c:pt idx="86">
                  <c:v>10786.362965215927</c:v>
                </c:pt>
                <c:pt idx="87">
                  <c:v>10786.362965215927</c:v>
                </c:pt>
                <c:pt idx="88">
                  <c:v>10786.362965215927</c:v>
                </c:pt>
                <c:pt idx="89">
                  <c:v>10786.362965215927</c:v>
                </c:pt>
                <c:pt idx="90">
                  <c:v>10786.362965215927</c:v>
                </c:pt>
                <c:pt idx="91">
                  <c:v>10786.362965215927</c:v>
                </c:pt>
                <c:pt idx="92">
                  <c:v>10786.362965215927</c:v>
                </c:pt>
                <c:pt idx="93">
                  <c:v>10786.362965215927</c:v>
                </c:pt>
                <c:pt idx="94">
                  <c:v>10786.362965215927</c:v>
                </c:pt>
                <c:pt idx="95">
                  <c:v>10786.362965215927</c:v>
                </c:pt>
                <c:pt idx="96">
                  <c:v>10786.362965215927</c:v>
                </c:pt>
                <c:pt idx="97">
                  <c:v>11433.544743128885</c:v>
                </c:pt>
                <c:pt idx="98">
                  <c:v>11433.544743128885</c:v>
                </c:pt>
                <c:pt idx="99">
                  <c:v>11433.544743128885</c:v>
                </c:pt>
                <c:pt idx="100">
                  <c:v>11433.544743128885</c:v>
                </c:pt>
                <c:pt idx="101">
                  <c:v>11433.544743128885</c:v>
                </c:pt>
                <c:pt idx="102">
                  <c:v>11433.544743128885</c:v>
                </c:pt>
                <c:pt idx="103">
                  <c:v>11433.544743128885</c:v>
                </c:pt>
                <c:pt idx="104">
                  <c:v>11433.544743128885</c:v>
                </c:pt>
                <c:pt idx="105">
                  <c:v>11433.544743128885</c:v>
                </c:pt>
                <c:pt idx="106">
                  <c:v>11433.544743128885</c:v>
                </c:pt>
                <c:pt idx="107">
                  <c:v>11433.544743128885</c:v>
                </c:pt>
                <c:pt idx="108">
                  <c:v>11433.544743128885</c:v>
                </c:pt>
                <c:pt idx="109">
                  <c:v>12119.557427716622</c:v>
                </c:pt>
                <c:pt idx="110">
                  <c:v>12119.557427716622</c:v>
                </c:pt>
                <c:pt idx="111">
                  <c:v>12119.557427716622</c:v>
                </c:pt>
                <c:pt idx="112">
                  <c:v>12119.557427716622</c:v>
                </c:pt>
                <c:pt idx="113">
                  <c:v>12119.557427716622</c:v>
                </c:pt>
                <c:pt idx="114">
                  <c:v>12119.557427716622</c:v>
                </c:pt>
                <c:pt idx="115">
                  <c:v>12119.557427716622</c:v>
                </c:pt>
                <c:pt idx="116">
                  <c:v>12119.557427716622</c:v>
                </c:pt>
                <c:pt idx="117">
                  <c:v>12119.557427716622</c:v>
                </c:pt>
                <c:pt idx="118">
                  <c:v>12119.557427716622</c:v>
                </c:pt>
                <c:pt idx="119">
                  <c:v>12119.557427716622</c:v>
                </c:pt>
                <c:pt idx="120">
                  <c:v>12119.557427716622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A-4BDF-A8E1-9CEF4A61EB14}"/>
            </c:ext>
          </c:extLst>
        </c:ser>
        <c:ser>
          <c:idx val="1"/>
          <c:order val="1"/>
          <c:tx>
            <c:strRef>
              <c:f>'Amortização + corr monetária'!$C$11</c:f>
              <c:strCache>
                <c:ptCount val="1"/>
                <c:pt idx="0">
                  <c:v>Juros</c:v>
                </c:pt>
              </c:strCache>
            </c:strRef>
          </c:tx>
          <c:spPr>
            <a:ln w="34925" cap="rnd">
              <a:solidFill>
                <a:srgbClr val="C0504D"/>
              </a:solidFill>
              <a:round/>
            </a:ln>
          </c:spPr>
          <c:marker>
            <c:symbol val="none"/>
          </c:marker>
          <c:xVal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'Amortização + corr monetária'!$J$12:$J$132</c:f>
              <c:numCache>
                <c:formatCode>#,##0.00</c:formatCode>
                <c:ptCount val="121"/>
                <c:pt idx="1">
                  <c:v>5000</c:v>
                </c:pt>
                <c:pt idx="2">
                  <c:v>4978.2645257987069</c:v>
                </c:pt>
                <c:pt idx="3">
                  <c:v>4956.3116968553995</c:v>
                </c:pt>
                <c:pt idx="4">
                  <c:v>4934.1393396226604</c:v>
                </c:pt>
                <c:pt idx="5">
                  <c:v>4911.7452588175929</c:v>
                </c:pt>
                <c:pt idx="6">
                  <c:v>4889.127237204475</c:v>
                </c:pt>
                <c:pt idx="7">
                  <c:v>4866.2830353752261</c:v>
                </c:pt>
                <c:pt idx="8">
                  <c:v>4843.2103915276848</c:v>
                </c:pt>
                <c:pt idx="9">
                  <c:v>4819.9070212416682</c:v>
                </c:pt>
                <c:pt idx="10">
                  <c:v>4796.3706172527918</c:v>
                </c:pt>
                <c:pt idx="11">
                  <c:v>4772.5988492240258</c:v>
                </c:pt>
                <c:pt idx="12">
                  <c:v>4748.5893635149723</c:v>
                </c:pt>
                <c:pt idx="13">
                  <c:v>5007.8001699257575</c:v>
                </c:pt>
                <c:pt idx="14">
                  <c:v>4981.8385689716442</c:v>
                </c:pt>
                <c:pt idx="15">
                  <c:v>4955.6173520079892</c:v>
                </c:pt>
                <c:pt idx="16">
                  <c:v>4929.1339228746983</c:v>
                </c:pt>
                <c:pt idx="17">
                  <c:v>4902.3856594500739</c:v>
                </c:pt>
                <c:pt idx="18">
                  <c:v>4875.3699133912032</c:v>
                </c:pt>
                <c:pt idx="19">
                  <c:v>4848.0840098717435</c:v>
                </c:pt>
                <c:pt idx="20">
                  <c:v>4820.5252473170904</c:v>
                </c:pt>
                <c:pt idx="21">
                  <c:v>4792.6908971368894</c:v>
                </c:pt>
                <c:pt idx="22">
                  <c:v>4764.5782034548874</c:v>
                </c:pt>
                <c:pt idx="23">
                  <c:v>4736.1843828360652</c:v>
                </c:pt>
                <c:pt idx="24">
                  <c:v>4707.5066240110546</c:v>
                </c:pt>
                <c:pt idx="25">
                  <c:v>4959.2546128536624</c:v>
                </c:pt>
                <c:pt idx="26">
                  <c:v>4928.2451801696252</c:v>
                </c:pt>
                <c:pt idx="27">
                  <c:v>4896.925653158748</c:v>
                </c:pt>
                <c:pt idx="28">
                  <c:v>4865.292930877762</c:v>
                </c:pt>
                <c:pt idx="29">
                  <c:v>4833.3438813739658</c:v>
                </c:pt>
                <c:pt idx="30">
                  <c:v>4801.0753413751318</c:v>
                </c:pt>
                <c:pt idx="31">
                  <c:v>4768.4841159763091</c:v>
                </c:pt>
                <c:pt idx="32">
                  <c:v>4735.566978323498</c:v>
                </c:pt>
                <c:pt idx="33">
                  <c:v>4702.3206692941594</c:v>
                </c:pt>
                <c:pt idx="34">
                  <c:v>4668.7418971745274</c:v>
                </c:pt>
                <c:pt idx="35">
                  <c:v>4634.8273373336988</c:v>
                </c:pt>
                <c:pt idx="36">
                  <c:v>4600.5736318944628</c:v>
                </c:pt>
                <c:pt idx="37">
                  <c:v>4839.9360327648837</c:v>
                </c:pt>
                <c:pt idx="38">
                  <c:v>4802.8972955512045</c:v>
                </c:pt>
                <c:pt idx="39">
                  <c:v>4765.4881709653882</c:v>
                </c:pt>
                <c:pt idx="40">
                  <c:v>4727.7049551337141</c:v>
                </c:pt>
                <c:pt idx="41">
                  <c:v>4689.5439071437231</c:v>
                </c:pt>
                <c:pt idx="42">
                  <c:v>4651.0012486738333</c:v>
                </c:pt>
                <c:pt idx="43">
                  <c:v>4612.0731636192431</c:v>
                </c:pt>
                <c:pt idx="44">
                  <c:v>4572.7557977141078</c:v>
                </c:pt>
                <c:pt idx="45">
                  <c:v>4533.0452581499203</c:v>
                </c:pt>
                <c:pt idx="46">
                  <c:v>4492.9376131900917</c:v>
                </c:pt>
                <c:pt idx="47">
                  <c:v>4452.4288917806643</c:v>
                </c:pt>
                <c:pt idx="48">
                  <c:v>4411.5150831571427</c:v>
                </c:pt>
                <c:pt idx="49">
                  <c:v>4632.4036646342292</c:v>
                </c:pt>
                <c:pt idx="50">
                  <c:v>4588.1633178867642</c:v>
                </c:pt>
                <c:pt idx="51">
                  <c:v>4543.4805676718233</c:v>
                </c:pt>
                <c:pt idx="52">
                  <c:v>4498.3509899547344</c:v>
                </c:pt>
                <c:pt idx="53">
                  <c:v>4452.7701164604732</c:v>
                </c:pt>
                <c:pt idx="54">
                  <c:v>4406.7334342312706</c:v>
                </c:pt>
                <c:pt idx="55">
                  <c:v>4360.2363851797754</c:v>
                </c:pt>
                <c:pt idx="56">
                  <c:v>4313.2743656377661</c:v>
                </c:pt>
                <c:pt idx="57">
                  <c:v>4265.8427259003356</c:v>
                </c:pt>
                <c:pt idx="58">
                  <c:v>4217.9367697655316</c:v>
                </c:pt>
                <c:pt idx="59">
                  <c:v>4169.55175406938</c:v>
                </c:pt>
                <c:pt idx="60">
                  <c:v>4120.6828882162654</c:v>
                </c:pt>
                <c:pt idx="61">
                  <c:v>4315.6048537268989</c:v>
                </c:pt>
                <c:pt idx="62">
                  <c:v>4262.7626558667307</c:v>
                </c:pt>
                <c:pt idx="63">
                  <c:v>4209.3920360279626</c:v>
                </c:pt>
                <c:pt idx="64">
                  <c:v>4155.4877099908063</c:v>
                </c:pt>
                <c:pt idx="65">
                  <c:v>4101.0443406932782</c:v>
                </c:pt>
                <c:pt idx="66">
                  <c:v>4046.0565377027751</c:v>
                </c:pt>
                <c:pt idx="67">
                  <c:v>3990.5188566823667</c:v>
                </c:pt>
                <c:pt idx="68">
                  <c:v>3934.4257988517538</c:v>
                </c:pt>
                <c:pt idx="69">
                  <c:v>3877.7718104428354</c:v>
                </c:pt>
                <c:pt idx="70">
                  <c:v>3820.5512821498282</c:v>
                </c:pt>
                <c:pt idx="71">
                  <c:v>3762.75854857389</c:v>
                </c:pt>
                <c:pt idx="72">
                  <c:v>3704.387887662193</c:v>
                </c:pt>
                <c:pt idx="73">
                  <c:v>3864.159531349861</c:v>
                </c:pt>
                <c:pt idx="74">
                  <c:v>3801.0429854820773</c:v>
                </c:pt>
                <c:pt idx="75">
                  <c:v>3737.2952741556155</c:v>
                </c:pt>
                <c:pt idx="76">
                  <c:v>3672.9100857158892</c:v>
                </c:pt>
                <c:pt idx="77">
                  <c:v>3607.8810453917658</c:v>
                </c:pt>
                <c:pt idx="78">
                  <c:v>3542.2017146644007</c:v>
                </c:pt>
                <c:pt idx="79">
                  <c:v>3475.8655906297622</c:v>
                </c:pt>
                <c:pt idx="80">
                  <c:v>3408.8661053547776</c:v>
                </c:pt>
                <c:pt idx="81">
                  <c:v>3341.1966252270431</c:v>
                </c:pt>
                <c:pt idx="82">
                  <c:v>3272.8504502980309</c:v>
                </c:pt>
                <c:pt idx="83">
                  <c:v>3203.8208136197286</c:v>
                </c:pt>
                <c:pt idx="84">
                  <c:v>3134.1008805746433</c:v>
                </c:pt>
                <c:pt idx="85">
                  <c:v>3247.5047730910542</c:v>
                </c:pt>
                <c:pt idx="86">
                  <c:v>3172.1161911698055</c:v>
                </c:pt>
                <c:pt idx="87">
                  <c:v>3095.9737234293443</c:v>
                </c:pt>
                <c:pt idx="88">
                  <c:v>3019.0698310114785</c:v>
                </c:pt>
                <c:pt idx="89">
                  <c:v>2941.3968996694343</c:v>
                </c:pt>
                <c:pt idx="90">
                  <c:v>2862.947239013969</c:v>
                </c:pt>
                <c:pt idx="91">
                  <c:v>2783.7130817519496</c:v>
                </c:pt>
                <c:pt idx="92">
                  <c:v>2703.6865829173098</c:v>
                </c:pt>
                <c:pt idx="93">
                  <c:v>2622.8598190943235</c:v>
                </c:pt>
                <c:pt idx="94">
                  <c:v>2541.2247876331076</c:v>
                </c:pt>
                <c:pt idx="95">
                  <c:v>2458.7734058572792</c:v>
                </c:pt>
                <c:pt idx="96">
                  <c:v>2375.4975102636927</c:v>
                </c:pt>
                <c:pt idx="97">
                  <c:v>2428.8721870570207</c:v>
                </c:pt>
                <c:pt idx="98">
                  <c:v>2338.8254614963021</c:v>
                </c:pt>
                <c:pt idx="99">
                  <c:v>2247.8782686799764</c:v>
                </c:pt>
                <c:pt idx="100">
                  <c:v>2156.0216039354873</c:v>
                </c:pt>
                <c:pt idx="101">
                  <c:v>2063.2463725435532</c:v>
                </c:pt>
                <c:pt idx="102">
                  <c:v>1969.5433888376999</c:v>
                </c:pt>
                <c:pt idx="103">
                  <c:v>1874.903375294788</c:v>
                </c:pt>
                <c:pt idx="104">
                  <c:v>1779.3169616164471</c:v>
                </c:pt>
                <c:pt idx="105">
                  <c:v>1682.7746838013229</c:v>
                </c:pt>
                <c:pt idx="106">
                  <c:v>1585.2669832080471</c:v>
                </c:pt>
                <c:pt idx="107">
                  <c:v>1486.7842056088389</c:v>
                </c:pt>
                <c:pt idx="108">
                  <c:v>1387.3166002336384</c:v>
                </c:pt>
                <c:pt idx="109">
                  <c:v>1364.065577932967</c:v>
                </c:pt>
                <c:pt idx="110">
                  <c:v>1256.5106594351305</c:v>
                </c:pt>
                <c:pt idx="111">
                  <c:v>1147.8801917523156</c:v>
                </c:pt>
                <c:pt idx="112">
                  <c:v>1038.1634193926725</c:v>
                </c:pt>
                <c:pt idx="113">
                  <c:v>927.34947930943292</c:v>
                </c:pt>
                <c:pt idx="114">
                  <c:v>815.42739982536114</c:v>
                </c:pt>
                <c:pt idx="115">
                  <c:v>702.38609954644835</c:v>
                </c:pt>
                <c:pt idx="116">
                  <c:v>588.21438626474662</c:v>
                </c:pt>
                <c:pt idx="117">
                  <c:v>472.90095585022794</c:v>
                </c:pt>
                <c:pt idx="118">
                  <c:v>356.43439113156398</c:v>
                </c:pt>
                <c:pt idx="119">
                  <c:v>238.80316076571341</c:v>
                </c:pt>
                <c:pt idx="120">
                  <c:v>119.99561809620432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A-4BDF-A8E1-9CEF4A61EB14}"/>
            </c:ext>
          </c:extLst>
        </c:ser>
        <c:ser>
          <c:idx val="2"/>
          <c:order val="2"/>
          <c:tx>
            <c:strRef>
              <c:f>'Amortização + corr monetária'!$D$11</c:f>
              <c:strCache>
                <c:ptCount val="1"/>
                <c:pt idx="0">
                  <c:v>Amortização</c:v>
                </c:pt>
              </c:strCache>
            </c:strRef>
          </c:tx>
          <c:spPr>
            <a:ln w="34925" cap="rnd">
              <a:solidFill>
                <a:srgbClr val="9BBB59"/>
              </a:solidFill>
              <a:round/>
            </a:ln>
          </c:spPr>
          <c:marker>
            <c:symbol val="none"/>
          </c:marker>
          <c:xVal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'Amortização + corr monetária'!$K$12:$K$132</c:f>
              <c:numCache>
                <c:formatCode>#,##0.00_);[Red]\(#,##0.00\)</c:formatCode>
                <c:ptCount val="121"/>
                <c:pt idx="1">
                  <c:v>2173.5474201293691</c:v>
                </c:pt>
                <c:pt idx="2">
                  <c:v>2195.2828943306622</c:v>
                </c:pt>
                <c:pt idx="3">
                  <c:v>2217.2357232739696</c:v>
                </c:pt>
                <c:pt idx="4">
                  <c:v>2239.4080805067088</c:v>
                </c:pt>
                <c:pt idx="5">
                  <c:v>2261.8021613117762</c:v>
                </c:pt>
                <c:pt idx="6">
                  <c:v>2284.4201829248941</c:v>
                </c:pt>
                <c:pt idx="7">
                  <c:v>2307.2643847541431</c:v>
                </c:pt>
                <c:pt idx="8">
                  <c:v>2330.3370286016843</c:v>
                </c:pt>
                <c:pt idx="9">
                  <c:v>2353.6403988877009</c:v>
                </c:pt>
                <c:pt idx="10">
                  <c:v>2377.1768028765773</c:v>
                </c:pt>
                <c:pt idx="11">
                  <c:v>2400.9485709053433</c:v>
                </c:pt>
                <c:pt idx="12">
                  <c:v>2424.9580566143968</c:v>
                </c:pt>
                <c:pt idx="13">
                  <c:v>2596.1600954113737</c:v>
                </c:pt>
                <c:pt idx="14">
                  <c:v>2622.121696365487</c:v>
                </c:pt>
                <c:pt idx="15">
                  <c:v>2648.342913329142</c:v>
                </c:pt>
                <c:pt idx="16">
                  <c:v>2674.8263424624329</c:v>
                </c:pt>
                <c:pt idx="17">
                  <c:v>2701.5746058870573</c:v>
                </c:pt>
                <c:pt idx="18">
                  <c:v>2728.590351945928</c:v>
                </c:pt>
                <c:pt idx="19">
                  <c:v>2755.8762554653877</c:v>
                </c:pt>
                <c:pt idx="20">
                  <c:v>2783.4350180200408</c:v>
                </c:pt>
                <c:pt idx="21">
                  <c:v>2811.2693682002418</c:v>
                </c:pt>
                <c:pt idx="22">
                  <c:v>2839.3820618822438</c:v>
                </c:pt>
                <c:pt idx="23">
                  <c:v>2867.775882501066</c:v>
                </c:pt>
                <c:pt idx="24">
                  <c:v>2896.4536413260766</c:v>
                </c:pt>
                <c:pt idx="25">
                  <c:v>3100.9432684036983</c:v>
                </c:pt>
                <c:pt idx="26">
                  <c:v>3131.9527010877355</c:v>
                </c:pt>
                <c:pt idx="27">
                  <c:v>3163.2722280986127</c:v>
                </c:pt>
                <c:pt idx="28">
                  <c:v>3194.9049503795986</c:v>
                </c:pt>
                <c:pt idx="29">
                  <c:v>3226.8539998833949</c:v>
                </c:pt>
                <c:pt idx="30">
                  <c:v>3259.1225398822289</c:v>
                </c:pt>
                <c:pt idx="31">
                  <c:v>3291.7137652810516</c:v>
                </c:pt>
                <c:pt idx="32">
                  <c:v>3324.6309029338627</c:v>
                </c:pt>
                <c:pt idx="33">
                  <c:v>3357.8772119632013</c:v>
                </c:pt>
                <c:pt idx="34">
                  <c:v>3391.4559840828333</c:v>
                </c:pt>
                <c:pt idx="35">
                  <c:v>3425.3705439236619</c:v>
                </c:pt>
                <c:pt idx="36">
                  <c:v>3459.6242493628979</c:v>
                </c:pt>
                <c:pt idx="37">
                  <c:v>3703.8737213679169</c:v>
                </c:pt>
                <c:pt idx="38">
                  <c:v>3740.9124585815962</c:v>
                </c:pt>
                <c:pt idx="39">
                  <c:v>3778.3215831674124</c:v>
                </c:pt>
                <c:pt idx="40">
                  <c:v>3816.1047989990866</c:v>
                </c:pt>
                <c:pt idx="41">
                  <c:v>3854.2658469890775</c:v>
                </c:pt>
                <c:pt idx="42">
                  <c:v>3892.8085054589674</c:v>
                </c:pt>
                <c:pt idx="43">
                  <c:v>3931.7365905135575</c:v>
                </c:pt>
                <c:pt idx="44">
                  <c:v>3971.0539564186929</c:v>
                </c:pt>
                <c:pt idx="45">
                  <c:v>4010.7644959828804</c:v>
                </c:pt>
                <c:pt idx="46">
                  <c:v>4050.8721409427089</c:v>
                </c:pt>
                <c:pt idx="47">
                  <c:v>4091.3808623521363</c:v>
                </c:pt>
                <c:pt idx="48">
                  <c:v>4132.2946709756579</c:v>
                </c:pt>
                <c:pt idx="49">
                  <c:v>4424.0346747465401</c:v>
                </c:pt>
                <c:pt idx="50">
                  <c:v>4468.2750214940052</c:v>
                </c:pt>
                <c:pt idx="51">
                  <c:v>4512.957771708946</c:v>
                </c:pt>
                <c:pt idx="52">
                  <c:v>4558.087349426035</c:v>
                </c:pt>
                <c:pt idx="53">
                  <c:v>4603.6682229202961</c:v>
                </c:pt>
                <c:pt idx="54">
                  <c:v>4649.7049051494987</c:v>
                </c:pt>
                <c:pt idx="55">
                  <c:v>4696.2019542009939</c:v>
                </c:pt>
                <c:pt idx="56">
                  <c:v>4743.1639737430032</c:v>
                </c:pt>
                <c:pt idx="57">
                  <c:v>4790.5956134804337</c:v>
                </c:pt>
                <c:pt idx="58">
                  <c:v>4838.5015696152377</c:v>
                </c:pt>
                <c:pt idx="59">
                  <c:v>4886.8865853113894</c:v>
                </c:pt>
                <c:pt idx="60">
                  <c:v>4935.7554511645039</c:v>
                </c:pt>
                <c:pt idx="61">
                  <c:v>5284.2197860167171</c:v>
                </c:pt>
                <c:pt idx="62">
                  <c:v>5337.0619838768853</c:v>
                </c:pt>
                <c:pt idx="63">
                  <c:v>5390.4326037156534</c:v>
                </c:pt>
                <c:pt idx="64">
                  <c:v>5444.3369297528097</c:v>
                </c:pt>
                <c:pt idx="65">
                  <c:v>5498.7802990503378</c:v>
                </c:pt>
                <c:pt idx="66">
                  <c:v>5553.7681020408409</c:v>
                </c:pt>
                <c:pt idx="67">
                  <c:v>5609.3057830612488</c:v>
                </c:pt>
                <c:pt idx="68">
                  <c:v>5665.3988408918622</c:v>
                </c:pt>
                <c:pt idx="69">
                  <c:v>5722.052829300781</c:v>
                </c:pt>
                <c:pt idx="70">
                  <c:v>5779.2733575937873</c:v>
                </c:pt>
                <c:pt idx="71">
                  <c:v>5837.066091169726</c:v>
                </c:pt>
                <c:pt idx="72">
                  <c:v>5895.436752081423</c:v>
                </c:pt>
                <c:pt idx="73">
                  <c:v>6311.6545867783761</c:v>
                </c:pt>
                <c:pt idx="74">
                  <c:v>6374.7711326461595</c:v>
                </c:pt>
                <c:pt idx="75">
                  <c:v>6438.5188439726217</c:v>
                </c:pt>
                <c:pt idx="76">
                  <c:v>6502.904032412348</c:v>
                </c:pt>
                <c:pt idx="77">
                  <c:v>6567.9330727364713</c:v>
                </c:pt>
                <c:pt idx="78">
                  <c:v>6633.612403463836</c:v>
                </c:pt>
                <c:pt idx="79">
                  <c:v>6699.9485274984745</c:v>
                </c:pt>
                <c:pt idx="80">
                  <c:v>6766.9480127734596</c:v>
                </c:pt>
                <c:pt idx="81">
                  <c:v>6834.6174929011941</c:v>
                </c:pt>
                <c:pt idx="82">
                  <c:v>6902.9636678302068</c:v>
                </c:pt>
                <c:pt idx="83">
                  <c:v>6971.993304508509</c:v>
                </c:pt>
                <c:pt idx="84">
                  <c:v>7041.7132375535939</c:v>
                </c:pt>
                <c:pt idx="85">
                  <c:v>7538.8581921248733</c:v>
                </c:pt>
                <c:pt idx="86">
                  <c:v>7614.2467740461216</c:v>
                </c:pt>
                <c:pt idx="87">
                  <c:v>7690.3892417865827</c:v>
                </c:pt>
                <c:pt idx="88">
                  <c:v>7767.2931342044485</c:v>
                </c:pt>
                <c:pt idx="89">
                  <c:v>7844.9660655464922</c:v>
                </c:pt>
                <c:pt idx="90">
                  <c:v>7923.415726201958</c:v>
                </c:pt>
                <c:pt idx="91">
                  <c:v>8002.6498834639769</c:v>
                </c:pt>
                <c:pt idx="92">
                  <c:v>8082.6763822986177</c:v>
                </c:pt>
                <c:pt idx="93">
                  <c:v>8163.503146121604</c:v>
                </c:pt>
                <c:pt idx="94">
                  <c:v>8245.1381775828195</c:v>
                </c:pt>
                <c:pt idx="95">
                  <c:v>8327.5895593586483</c:v>
                </c:pt>
                <c:pt idx="96">
                  <c:v>8410.8654549522344</c:v>
                </c:pt>
                <c:pt idx="97">
                  <c:v>9004.6725560718642</c:v>
                </c:pt>
                <c:pt idx="98">
                  <c:v>9094.7192816325824</c:v>
                </c:pt>
                <c:pt idx="99">
                  <c:v>9185.666474448908</c:v>
                </c:pt>
                <c:pt idx="100">
                  <c:v>9277.5231391933976</c:v>
                </c:pt>
                <c:pt idx="101">
                  <c:v>9370.2983705853312</c:v>
                </c:pt>
                <c:pt idx="102">
                  <c:v>9464.0013542911856</c:v>
                </c:pt>
                <c:pt idx="103">
                  <c:v>9558.6413678340978</c:v>
                </c:pt>
                <c:pt idx="104">
                  <c:v>9654.227781512438</c:v>
                </c:pt>
                <c:pt idx="105">
                  <c:v>9750.7700593275622</c:v>
                </c:pt>
                <c:pt idx="106">
                  <c:v>9848.2777599208384</c:v>
                </c:pt>
                <c:pt idx="107">
                  <c:v>9946.7605375200455</c:v>
                </c:pt>
                <c:pt idx="108">
                  <c:v>10046.228142895246</c:v>
                </c:pt>
                <c:pt idx="109">
                  <c:v>10755.491849783655</c:v>
                </c:pt>
                <c:pt idx="110">
                  <c:v>10863.046768281491</c:v>
                </c:pt>
                <c:pt idx="111">
                  <c:v>10971.677235964306</c:v>
                </c:pt>
                <c:pt idx="112">
                  <c:v>11081.394008323949</c:v>
                </c:pt>
                <c:pt idx="113">
                  <c:v>11192.207948407189</c:v>
                </c:pt>
                <c:pt idx="114">
                  <c:v>11304.13002789126</c:v>
                </c:pt>
                <c:pt idx="115">
                  <c:v>11417.171328170174</c:v>
                </c:pt>
                <c:pt idx="116">
                  <c:v>11531.343041451875</c:v>
                </c:pt>
                <c:pt idx="117">
                  <c:v>11646.656471866394</c:v>
                </c:pt>
                <c:pt idx="118">
                  <c:v>11763.123036585057</c:v>
                </c:pt>
                <c:pt idx="119">
                  <c:v>11880.754266950908</c:v>
                </c:pt>
                <c:pt idx="120">
                  <c:v>11999.561809620418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CA-4BDF-A8E1-9CEF4A61E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13062"/>
        <c:axId val="94379558"/>
      </c:scatterChart>
      <c:valAx>
        <c:axId val="56713062"/>
        <c:scaling>
          <c:orientation val="minMax"/>
          <c:max val="1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pt-BR"/>
          </a:p>
        </c:txPr>
        <c:crossAx val="94379558"/>
        <c:crosses val="autoZero"/>
        <c:crossBetween val="midCat"/>
      </c:valAx>
      <c:valAx>
        <c:axId val="943795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pt-BR"/>
          </a:p>
        </c:txPr>
        <c:crossAx val="56713062"/>
        <c:crosses val="autoZero"/>
        <c:crossBetween val="midCat"/>
      </c:valAx>
      <c:spPr>
        <a:noFill/>
        <a:ln w="15840">
          <a:solidFill>
            <a:srgbClr val="000000"/>
          </a:solidFill>
          <a:round/>
        </a:ln>
      </c:spPr>
    </c:plotArea>
    <c:legend>
      <c:legendPos val="t"/>
      <c:layout>
        <c:manualLayout>
          <c:xMode val="edge"/>
          <c:yMode val="edge"/>
          <c:x val="0.52775871035069699"/>
          <c:y val="0.11362030978990248"/>
          <c:w val="0.3901508633320005"/>
          <c:h val="4.5390095935034278E-2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400" b="0" strike="noStrike" spc="-1">
              <a:solidFill>
                <a:srgbClr val="595959"/>
              </a:solidFill>
              <a:latin typeface="Arial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Saldo devedor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SAC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'Amortização + corr monetária'!$E$12:$E$132</c:f>
              <c:numCache>
                <c:formatCode>#,##0.00</c:formatCode>
                <c:ptCount val="121"/>
                <c:pt idx="0">
                  <c:v>500000</c:v>
                </c:pt>
                <c:pt idx="1">
                  <c:v>495833.33333333331</c:v>
                </c:pt>
                <c:pt idx="2">
                  <c:v>491666.66666666663</c:v>
                </c:pt>
                <c:pt idx="3">
                  <c:v>487499.99999999994</c:v>
                </c:pt>
                <c:pt idx="4">
                  <c:v>483333.33333333326</c:v>
                </c:pt>
                <c:pt idx="5">
                  <c:v>479166.66666666657</c:v>
                </c:pt>
                <c:pt idx="6">
                  <c:v>474999.99999999988</c:v>
                </c:pt>
                <c:pt idx="7">
                  <c:v>470833.3333333332</c:v>
                </c:pt>
                <c:pt idx="8">
                  <c:v>466666.66666666651</c:v>
                </c:pt>
                <c:pt idx="9">
                  <c:v>462499.99999999983</c:v>
                </c:pt>
                <c:pt idx="10">
                  <c:v>458333.33333333314</c:v>
                </c:pt>
                <c:pt idx="11">
                  <c:v>454166.66666666645</c:v>
                </c:pt>
                <c:pt idx="12">
                  <c:v>449999.99999999977</c:v>
                </c:pt>
                <c:pt idx="13">
                  <c:v>472583.33333333308</c:v>
                </c:pt>
                <c:pt idx="14">
                  <c:v>468166.6666666664</c:v>
                </c:pt>
                <c:pt idx="15">
                  <c:v>463749.99999999971</c:v>
                </c:pt>
                <c:pt idx="16">
                  <c:v>459333.33333333302</c:v>
                </c:pt>
                <c:pt idx="17">
                  <c:v>454916.66666666634</c:v>
                </c:pt>
                <c:pt idx="18">
                  <c:v>450499.99999999965</c:v>
                </c:pt>
                <c:pt idx="19">
                  <c:v>446083.33333333296</c:v>
                </c:pt>
                <c:pt idx="20">
                  <c:v>441666.66666666628</c:v>
                </c:pt>
                <c:pt idx="21">
                  <c:v>437249.99999999959</c:v>
                </c:pt>
                <c:pt idx="22">
                  <c:v>432833.33333333291</c:v>
                </c:pt>
                <c:pt idx="23">
                  <c:v>428416.66666666622</c:v>
                </c:pt>
                <c:pt idx="24">
                  <c:v>423999.99999999953</c:v>
                </c:pt>
                <c:pt idx="25">
                  <c:v>444758.33333333285</c:v>
                </c:pt>
                <c:pt idx="26">
                  <c:v>440076.66666666616</c:v>
                </c:pt>
                <c:pt idx="27">
                  <c:v>435394.99999999948</c:v>
                </c:pt>
                <c:pt idx="28">
                  <c:v>430713.33333333279</c:v>
                </c:pt>
                <c:pt idx="29">
                  <c:v>426031.6666666661</c:v>
                </c:pt>
                <c:pt idx="30">
                  <c:v>421349.99999999942</c:v>
                </c:pt>
                <c:pt idx="31">
                  <c:v>416668.33333333273</c:v>
                </c:pt>
                <c:pt idx="32">
                  <c:v>411986.66666666605</c:v>
                </c:pt>
                <c:pt idx="33">
                  <c:v>407304.99999999936</c:v>
                </c:pt>
                <c:pt idx="34">
                  <c:v>402623.33333333267</c:v>
                </c:pt>
                <c:pt idx="35">
                  <c:v>397941.66666666599</c:v>
                </c:pt>
                <c:pt idx="36">
                  <c:v>393259.9999999993</c:v>
                </c:pt>
                <c:pt idx="37">
                  <c:v>411893.03333333263</c:v>
                </c:pt>
                <c:pt idx="38">
                  <c:v>406930.46666666598</c:v>
                </c:pt>
                <c:pt idx="39">
                  <c:v>401967.89999999932</c:v>
                </c:pt>
                <c:pt idx="40">
                  <c:v>397005.33333333267</c:v>
                </c:pt>
                <c:pt idx="41">
                  <c:v>392042.76666666602</c:v>
                </c:pt>
                <c:pt idx="42">
                  <c:v>387080.19999999937</c:v>
                </c:pt>
                <c:pt idx="43">
                  <c:v>382117.63333333272</c:v>
                </c:pt>
                <c:pt idx="44">
                  <c:v>377155.06666666607</c:v>
                </c:pt>
                <c:pt idx="45">
                  <c:v>372192.49999999942</c:v>
                </c:pt>
                <c:pt idx="46">
                  <c:v>367229.93333333277</c:v>
                </c:pt>
                <c:pt idx="47">
                  <c:v>362267.36666666612</c:v>
                </c:pt>
                <c:pt idx="48">
                  <c:v>357304.79999999946</c:v>
                </c:pt>
                <c:pt idx="49">
                  <c:v>373482.7673333328</c:v>
                </c:pt>
                <c:pt idx="50">
                  <c:v>368222.44666666613</c:v>
                </c:pt>
                <c:pt idx="51">
                  <c:v>362962.12599999947</c:v>
                </c:pt>
                <c:pt idx="52">
                  <c:v>357701.8053333328</c:v>
                </c:pt>
                <c:pt idx="53">
                  <c:v>352441.48466666613</c:v>
                </c:pt>
                <c:pt idx="54">
                  <c:v>347181.16399999947</c:v>
                </c:pt>
                <c:pt idx="55">
                  <c:v>341920.8433333328</c:v>
                </c:pt>
                <c:pt idx="56">
                  <c:v>336660.52266666613</c:v>
                </c:pt>
                <c:pt idx="57">
                  <c:v>331400.20199999947</c:v>
                </c:pt>
                <c:pt idx="58">
                  <c:v>326139.8813333328</c:v>
                </c:pt>
                <c:pt idx="59">
                  <c:v>320879.56066666613</c:v>
                </c:pt>
                <c:pt idx="60">
                  <c:v>315619.23999999947</c:v>
                </c:pt>
                <c:pt idx="61">
                  <c:v>328980.45449333283</c:v>
                </c:pt>
                <c:pt idx="62">
                  <c:v>323404.51458666619</c:v>
                </c:pt>
                <c:pt idx="63">
                  <c:v>317828.57467999955</c:v>
                </c:pt>
                <c:pt idx="64">
                  <c:v>312252.63477333292</c:v>
                </c:pt>
                <c:pt idx="65">
                  <c:v>306676.69486666628</c:v>
                </c:pt>
                <c:pt idx="66">
                  <c:v>301100.75495999964</c:v>
                </c:pt>
                <c:pt idx="67">
                  <c:v>295524.815053333</c:v>
                </c:pt>
                <c:pt idx="68">
                  <c:v>289948.87514666637</c:v>
                </c:pt>
                <c:pt idx="69">
                  <c:v>284372.93523999973</c:v>
                </c:pt>
                <c:pt idx="70">
                  <c:v>278796.99533333309</c:v>
                </c:pt>
                <c:pt idx="71">
                  <c:v>273221.05542666645</c:v>
                </c:pt>
                <c:pt idx="72">
                  <c:v>267645.11551999982</c:v>
                </c:pt>
                <c:pt idx="73">
                  <c:v>277793.32615013316</c:v>
                </c:pt>
                <c:pt idx="74">
                  <c:v>271882.8298490665</c:v>
                </c:pt>
                <c:pt idx="75">
                  <c:v>265972.33354799985</c:v>
                </c:pt>
                <c:pt idx="76">
                  <c:v>260061.8372469332</c:v>
                </c:pt>
                <c:pt idx="77">
                  <c:v>254151.34094586654</c:v>
                </c:pt>
                <c:pt idx="78">
                  <c:v>248240.84464479989</c:v>
                </c:pt>
                <c:pt idx="79">
                  <c:v>242330.34834373323</c:v>
                </c:pt>
                <c:pt idx="80">
                  <c:v>236419.85204266658</c:v>
                </c:pt>
                <c:pt idx="81">
                  <c:v>230509.35574159992</c:v>
                </c:pt>
                <c:pt idx="82">
                  <c:v>224598.85944053327</c:v>
                </c:pt>
                <c:pt idx="83">
                  <c:v>218688.36313946662</c:v>
                </c:pt>
                <c:pt idx="84">
                  <c:v>212777.86683839996</c:v>
                </c:pt>
                <c:pt idx="85">
                  <c:v>219279.4127695733</c:v>
                </c:pt>
                <c:pt idx="86">
                  <c:v>213014.28669044265</c:v>
                </c:pt>
                <c:pt idx="87">
                  <c:v>206749.16061131199</c:v>
                </c:pt>
                <c:pt idx="88">
                  <c:v>200484.03453218134</c:v>
                </c:pt>
                <c:pt idx="89">
                  <c:v>194218.90845305068</c:v>
                </c:pt>
                <c:pt idx="90">
                  <c:v>187953.78237392002</c:v>
                </c:pt>
                <c:pt idx="91">
                  <c:v>181688.65629478937</c:v>
                </c:pt>
                <c:pt idx="92">
                  <c:v>175423.53021565871</c:v>
                </c:pt>
                <c:pt idx="93">
                  <c:v>169158.40413652806</c:v>
                </c:pt>
                <c:pt idx="94">
                  <c:v>162893.2780573974</c:v>
                </c:pt>
                <c:pt idx="95">
                  <c:v>156628.15197826675</c:v>
                </c:pt>
                <c:pt idx="96">
                  <c:v>150363.02589913609</c:v>
                </c:pt>
                <c:pt idx="97">
                  <c:v>152743.77380920577</c:v>
                </c:pt>
                <c:pt idx="98">
                  <c:v>146102.74016532727</c:v>
                </c:pt>
                <c:pt idx="99">
                  <c:v>139461.70652144877</c:v>
                </c:pt>
                <c:pt idx="100">
                  <c:v>132820.67287757026</c:v>
                </c:pt>
                <c:pt idx="101">
                  <c:v>126179.63923369175</c:v>
                </c:pt>
                <c:pt idx="102">
                  <c:v>119538.60558981323</c:v>
                </c:pt>
                <c:pt idx="103">
                  <c:v>112897.57194593472</c:v>
                </c:pt>
                <c:pt idx="104">
                  <c:v>106256.5383020562</c:v>
                </c:pt>
                <c:pt idx="105">
                  <c:v>99615.504658177684</c:v>
                </c:pt>
                <c:pt idx="106">
                  <c:v>92974.471014299168</c:v>
                </c:pt>
                <c:pt idx="107">
                  <c:v>86333.437370420652</c:v>
                </c:pt>
                <c:pt idx="108">
                  <c:v>79692.403726542136</c:v>
                </c:pt>
                <c:pt idx="109">
                  <c:v>77434.45228762344</c:v>
                </c:pt>
                <c:pt idx="110">
                  <c:v>70394.956625112216</c:v>
                </c:pt>
                <c:pt idx="111">
                  <c:v>63355.460962600991</c:v>
                </c:pt>
                <c:pt idx="112">
                  <c:v>56315.965300089767</c:v>
                </c:pt>
                <c:pt idx="113">
                  <c:v>49276.469637578542</c:v>
                </c:pt>
                <c:pt idx="114">
                  <c:v>42236.973975067318</c:v>
                </c:pt>
                <c:pt idx="115">
                  <c:v>35197.478312556093</c:v>
                </c:pt>
                <c:pt idx="116">
                  <c:v>28157.982650044873</c:v>
                </c:pt>
                <c:pt idx="117">
                  <c:v>21118.486987533652</c:v>
                </c:pt>
                <c:pt idx="118">
                  <c:v>14078.991325022431</c:v>
                </c:pt>
                <c:pt idx="119">
                  <c:v>7039.495662511209</c:v>
                </c:pt>
                <c:pt idx="120">
                  <c:v>-1.2732925824820995E-11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E-4B49-9CB9-DE8B9D52025E}"/>
            </c:ext>
          </c:extLst>
        </c:ser>
        <c:ser>
          <c:idx val="0"/>
          <c:order val="1"/>
          <c:tx>
            <c:v>PRICE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'Amortização + corr monetária'!$A$12:$A$132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'Amortização + corr monetária'!$L$12:$L$132</c:f>
              <c:numCache>
                <c:formatCode>#,##0.00</c:formatCode>
                <c:ptCount val="121"/>
                <c:pt idx="0">
                  <c:v>500000</c:v>
                </c:pt>
                <c:pt idx="1">
                  <c:v>497826.45257987065</c:v>
                </c:pt>
                <c:pt idx="2">
                  <c:v>495631.16968553996</c:v>
                </c:pt>
                <c:pt idx="3">
                  <c:v>493413.93396226602</c:v>
                </c:pt>
                <c:pt idx="4">
                  <c:v>491174.5258817593</c:v>
                </c:pt>
                <c:pt idx="5">
                  <c:v>488912.72372044751</c:v>
                </c:pt>
                <c:pt idx="6">
                  <c:v>486628.30353752262</c:v>
                </c:pt>
                <c:pt idx="7">
                  <c:v>484321.0391527685</c:v>
                </c:pt>
                <c:pt idx="8">
                  <c:v>481990.70212416683</c:v>
                </c:pt>
                <c:pt idx="9">
                  <c:v>479637.06172527914</c:v>
                </c:pt>
                <c:pt idx="10">
                  <c:v>477259.88492240256</c:v>
                </c:pt>
                <c:pt idx="11">
                  <c:v>474858.93635149719</c:v>
                </c:pt>
                <c:pt idx="12">
                  <c:v>472433.97829488281</c:v>
                </c:pt>
                <c:pt idx="13">
                  <c:v>498183.85689716443</c:v>
                </c:pt>
                <c:pt idx="14">
                  <c:v>495561.73520079895</c:v>
                </c:pt>
                <c:pt idx="15">
                  <c:v>492913.39228746982</c:v>
                </c:pt>
                <c:pt idx="16">
                  <c:v>490238.56594500737</c:v>
                </c:pt>
                <c:pt idx="17">
                  <c:v>487536.99133912032</c:v>
                </c:pt>
                <c:pt idx="18">
                  <c:v>484808.40098717436</c:v>
                </c:pt>
                <c:pt idx="19">
                  <c:v>482052.52473170898</c:v>
                </c:pt>
                <c:pt idx="20">
                  <c:v>479269.08971368894</c:v>
                </c:pt>
                <c:pt idx="21">
                  <c:v>476457.82034548873</c:v>
                </c:pt>
                <c:pt idx="22">
                  <c:v>473618.43828360649</c:v>
                </c:pt>
                <c:pt idx="23">
                  <c:v>470750.66240110545</c:v>
                </c:pt>
                <c:pt idx="24">
                  <c:v>467854.2087597794</c:v>
                </c:pt>
                <c:pt idx="25">
                  <c:v>492824.51801696251</c:v>
                </c:pt>
                <c:pt idx="26">
                  <c:v>489692.56531587476</c:v>
                </c:pt>
                <c:pt idx="27">
                  <c:v>486529.29308777617</c:v>
                </c:pt>
                <c:pt idx="28">
                  <c:v>483334.38813739654</c:v>
                </c:pt>
                <c:pt idx="29">
                  <c:v>480107.53413751314</c:v>
                </c:pt>
                <c:pt idx="30">
                  <c:v>476848.41159763088</c:v>
                </c:pt>
                <c:pt idx="31">
                  <c:v>473556.6978323498</c:v>
                </c:pt>
                <c:pt idx="32">
                  <c:v>470232.06692941592</c:v>
                </c:pt>
                <c:pt idx="33">
                  <c:v>466874.18971745274</c:v>
                </c:pt>
                <c:pt idx="34">
                  <c:v>463482.73373336991</c:v>
                </c:pt>
                <c:pt idx="35">
                  <c:v>460057.36318944627</c:v>
                </c:pt>
                <c:pt idx="36">
                  <c:v>456597.73894008336</c:v>
                </c:pt>
                <c:pt idx="37">
                  <c:v>480289.72955512046</c:v>
                </c:pt>
                <c:pt idx="38">
                  <c:v>476548.81709653884</c:v>
                </c:pt>
                <c:pt idx="39">
                  <c:v>472770.49551337142</c:v>
                </c:pt>
                <c:pt idx="40">
                  <c:v>468954.39071437233</c:v>
                </c:pt>
                <c:pt idx="41">
                  <c:v>465100.12486738327</c:v>
                </c:pt>
                <c:pt idx="42">
                  <c:v>461207.31636192428</c:v>
                </c:pt>
                <c:pt idx="43">
                  <c:v>457275.57977141073</c:v>
                </c:pt>
                <c:pt idx="44">
                  <c:v>453304.52581499203</c:v>
                </c:pt>
                <c:pt idx="45">
                  <c:v>449293.76131900912</c:v>
                </c:pt>
                <c:pt idx="46">
                  <c:v>445242.8891780664</c:v>
                </c:pt>
                <c:pt idx="47">
                  <c:v>441151.50831571425</c:v>
                </c:pt>
                <c:pt idx="48">
                  <c:v>437019.2136447386</c:v>
                </c:pt>
                <c:pt idx="49">
                  <c:v>458816.33178867638</c:v>
                </c:pt>
                <c:pt idx="50">
                  <c:v>454348.05676718237</c:v>
                </c:pt>
                <c:pt idx="51">
                  <c:v>449835.09899547341</c:v>
                </c:pt>
                <c:pt idx="52">
                  <c:v>445277.01164604735</c:v>
                </c:pt>
                <c:pt idx="53">
                  <c:v>440673.34342312708</c:v>
                </c:pt>
                <c:pt idx="54">
                  <c:v>436023.63851797755</c:v>
                </c:pt>
                <c:pt idx="55">
                  <c:v>431327.43656377657</c:v>
                </c:pt>
                <c:pt idx="56">
                  <c:v>426584.27259003359</c:v>
                </c:pt>
                <c:pt idx="57">
                  <c:v>421793.67697655316</c:v>
                </c:pt>
                <c:pt idx="58">
                  <c:v>416955.17540693795</c:v>
                </c:pt>
                <c:pt idx="59">
                  <c:v>412068.28882162657</c:v>
                </c:pt>
                <c:pt idx="60">
                  <c:v>407132.53337046207</c:v>
                </c:pt>
                <c:pt idx="61">
                  <c:v>426276.26558667311</c:v>
                </c:pt>
                <c:pt idx="62">
                  <c:v>420939.20360279625</c:v>
                </c:pt>
                <c:pt idx="63">
                  <c:v>415548.77099908062</c:v>
                </c:pt>
                <c:pt idx="64">
                  <c:v>410104.43406932784</c:v>
                </c:pt>
                <c:pt idx="65">
                  <c:v>404605.65377027751</c:v>
                </c:pt>
                <c:pt idx="66">
                  <c:v>399051.88566823665</c:v>
                </c:pt>
                <c:pt idx="67">
                  <c:v>393442.57988517539</c:v>
                </c:pt>
                <c:pt idx="68">
                  <c:v>387777.18104428356</c:v>
                </c:pt>
                <c:pt idx="69">
                  <c:v>382055.1282149828</c:v>
                </c:pt>
                <c:pt idx="70">
                  <c:v>376275.854857389</c:v>
                </c:pt>
                <c:pt idx="71">
                  <c:v>370438.78876621928</c:v>
                </c:pt>
                <c:pt idx="72">
                  <c:v>364543.35201413784</c:v>
                </c:pt>
                <c:pt idx="73">
                  <c:v>380104.29854820773</c:v>
                </c:pt>
                <c:pt idx="74">
                  <c:v>373729.52741556155</c:v>
                </c:pt>
                <c:pt idx="75">
                  <c:v>367291.0085715889</c:v>
                </c:pt>
                <c:pt idx="76">
                  <c:v>360788.10453917657</c:v>
                </c:pt>
                <c:pt idx="77">
                  <c:v>354220.17146644008</c:v>
                </c:pt>
                <c:pt idx="78">
                  <c:v>347586.55906297622</c:v>
                </c:pt>
                <c:pt idx="79">
                  <c:v>340886.61053547775</c:v>
                </c:pt>
                <c:pt idx="80">
                  <c:v>334119.66252270428</c:v>
                </c:pt>
                <c:pt idx="81">
                  <c:v>327285.04502980306</c:v>
                </c:pt>
                <c:pt idx="82">
                  <c:v>320382.08136197284</c:v>
                </c:pt>
                <c:pt idx="83">
                  <c:v>313410.08805746434</c:v>
                </c:pt>
                <c:pt idx="84">
                  <c:v>306368.37481991074</c:v>
                </c:pt>
                <c:pt idx="85">
                  <c:v>317211.61911698052</c:v>
                </c:pt>
                <c:pt idx="86">
                  <c:v>309597.37234293442</c:v>
                </c:pt>
                <c:pt idx="87">
                  <c:v>301906.98310114787</c:v>
                </c:pt>
                <c:pt idx="88">
                  <c:v>294139.68996694341</c:v>
                </c:pt>
                <c:pt idx="89">
                  <c:v>286294.72390139691</c:v>
                </c:pt>
                <c:pt idx="90">
                  <c:v>278371.30817519495</c:v>
                </c:pt>
                <c:pt idx="91">
                  <c:v>270368.65829173097</c:v>
                </c:pt>
                <c:pt idx="92">
                  <c:v>262285.98190943233</c:v>
                </c:pt>
                <c:pt idx="93">
                  <c:v>254122.47876331073</c:v>
                </c:pt>
                <c:pt idx="94">
                  <c:v>245877.34058572791</c:v>
                </c:pt>
                <c:pt idx="95">
                  <c:v>237549.75102636925</c:v>
                </c:pt>
                <c:pt idx="96">
                  <c:v>229138.88557141702</c:v>
                </c:pt>
                <c:pt idx="97">
                  <c:v>233882.54614963019</c:v>
                </c:pt>
                <c:pt idx="98">
                  <c:v>224787.82686799762</c:v>
                </c:pt>
                <c:pt idx="99">
                  <c:v>215602.16039354872</c:v>
                </c:pt>
                <c:pt idx="100">
                  <c:v>206324.63725435533</c:v>
                </c:pt>
                <c:pt idx="101">
                  <c:v>196954.33888376999</c:v>
                </c:pt>
                <c:pt idx="102">
                  <c:v>187490.3375294788</c:v>
                </c:pt>
                <c:pt idx="103">
                  <c:v>177931.69616164471</c:v>
                </c:pt>
                <c:pt idx="104">
                  <c:v>168277.46838013228</c:v>
                </c:pt>
                <c:pt idx="105">
                  <c:v>158526.69832080472</c:v>
                </c:pt>
                <c:pt idx="106">
                  <c:v>148678.42056088388</c:v>
                </c:pt>
                <c:pt idx="107">
                  <c:v>138731.66002336383</c:v>
                </c:pt>
                <c:pt idx="108">
                  <c:v>128685.43188046859</c:v>
                </c:pt>
                <c:pt idx="109">
                  <c:v>125651.06594351304</c:v>
                </c:pt>
                <c:pt idx="110">
                  <c:v>114788.01917523154</c:v>
                </c:pt>
                <c:pt idx="111">
                  <c:v>103816.34193926724</c:v>
                </c:pt>
                <c:pt idx="112">
                  <c:v>92734.947930943294</c:v>
                </c:pt>
                <c:pt idx="113">
                  <c:v>81542.739982536106</c:v>
                </c:pt>
                <c:pt idx="114">
                  <c:v>70238.609954644839</c:v>
                </c:pt>
                <c:pt idx="115">
                  <c:v>58821.438626474664</c:v>
                </c:pt>
                <c:pt idx="116">
                  <c:v>47290.095585022791</c:v>
                </c:pt>
                <c:pt idx="117">
                  <c:v>35643.439113156397</c:v>
                </c:pt>
                <c:pt idx="118">
                  <c:v>23880.31607657134</c:v>
                </c:pt>
                <c:pt idx="119">
                  <c:v>11999.561809620433</c:v>
                </c:pt>
                <c:pt idx="120">
                  <c:v>1.4551915228366852E-11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E-4B49-9CB9-DE8B9D520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360288"/>
        <c:axId val="1657732848"/>
      </c:lineChart>
      <c:catAx>
        <c:axId val="16523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7732848"/>
        <c:crosses val="autoZero"/>
        <c:auto val="1"/>
        <c:lblAlgn val="ctr"/>
        <c:lblOffset val="100"/>
        <c:noMultiLvlLbl val="0"/>
      </c:catAx>
      <c:valAx>
        <c:axId val="1657732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52360288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68212101740044562"/>
          <c:y val="0.14011935025628644"/>
          <c:w val="0.18902896997099319"/>
          <c:h val="4.53900959350342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3526F8-12DE-497A-BDCF-73C836A6C4DD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03C49E-6CB7-4F25-802D-6420523FF324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17B222-0C33-4CE1-A222-D0ED631A5676}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75478" y="60840"/>
    <xdr:ext cx="3872277" cy="1638977"/>
    <xdr:pic>
      <xdr:nvPicPr>
        <xdr:cNvPr id="2" name="Figura 2">
          <a:extLst>
            <a:ext uri="{FF2B5EF4-FFF2-40B4-BE49-F238E27FC236}">
              <a16:creationId xmlns:a16="http://schemas.microsoft.com/office/drawing/2014/main" id="{5F308A8E-4969-47FA-AE64-3F57F43B644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75478" y="60840"/>
          <a:ext cx="3872277" cy="1638977"/>
        </a:xfrm>
        <a:prstGeom prst="rect">
          <a:avLst/>
        </a:prstGeom>
        <a:ln w="0"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107280</xdr:colOff>
      <xdr:row>7</xdr:row>
      <xdr:rowOff>11880</xdr:rowOff>
    </xdr:from>
    <xdr:ext cx="1837267" cy="599203"/>
    <xdr:pic>
      <xdr:nvPicPr>
        <xdr:cNvPr id="2" name="Imagem 7">
          <a:extLst>
            <a:ext uri="{FF2B5EF4-FFF2-40B4-BE49-F238E27FC236}">
              <a16:creationId xmlns:a16="http://schemas.microsoft.com/office/drawing/2014/main" id="{F4EB8CEF-707F-446E-80AB-55EB496D52D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93430" y="1145355"/>
          <a:ext cx="1837267" cy="599203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6</xdr:col>
      <xdr:colOff>166680</xdr:colOff>
      <xdr:row>17</xdr:row>
      <xdr:rowOff>11880</xdr:rowOff>
    </xdr:from>
    <xdr:ext cx="1399372" cy="561043"/>
    <xdr:pic>
      <xdr:nvPicPr>
        <xdr:cNvPr id="3" name="Imagem 10">
          <a:extLst>
            <a:ext uri="{FF2B5EF4-FFF2-40B4-BE49-F238E27FC236}">
              <a16:creationId xmlns:a16="http://schemas.microsoft.com/office/drawing/2014/main" id="{80BC7080-384D-47DA-A469-1DB1588223D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652830" y="2764605"/>
          <a:ext cx="1399372" cy="561043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6</xdr:col>
      <xdr:colOff>250200</xdr:colOff>
      <xdr:row>27</xdr:row>
      <xdr:rowOff>77400</xdr:rowOff>
    </xdr:from>
    <xdr:ext cx="1751587" cy="618458"/>
    <xdr:pic>
      <xdr:nvPicPr>
        <xdr:cNvPr id="4" name="Imagem 11">
          <a:extLst>
            <a:ext uri="{FF2B5EF4-FFF2-40B4-BE49-F238E27FC236}">
              <a16:creationId xmlns:a16="http://schemas.microsoft.com/office/drawing/2014/main" id="{98B4901B-280A-491C-936B-AADE009F10B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736350" y="4449375"/>
          <a:ext cx="1751587" cy="618458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7</xdr:col>
      <xdr:colOff>313920</xdr:colOff>
      <xdr:row>2</xdr:row>
      <xdr:rowOff>41400</xdr:rowOff>
    </xdr:from>
    <xdr:ext cx="2644110" cy="1034184"/>
    <xdr:pic>
      <xdr:nvPicPr>
        <xdr:cNvPr id="5" name="Figura 3">
          <a:extLst>
            <a:ext uri="{FF2B5EF4-FFF2-40B4-BE49-F238E27FC236}">
              <a16:creationId xmlns:a16="http://schemas.microsoft.com/office/drawing/2014/main" id="{4E9C6668-943C-41BC-A305-E870F6AF3358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381095" y="365250"/>
          <a:ext cx="2644110" cy="1034184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36000</xdr:colOff>
      <xdr:row>0</xdr:row>
      <xdr:rowOff>90720</xdr:rowOff>
    </xdr:from>
    <xdr:ext cx="5429865" cy="1334726"/>
    <xdr:pic>
      <xdr:nvPicPr>
        <xdr:cNvPr id="2" name="Figura 1">
          <a:extLst>
            <a:ext uri="{FF2B5EF4-FFF2-40B4-BE49-F238E27FC236}">
              <a16:creationId xmlns:a16="http://schemas.microsoft.com/office/drawing/2014/main" id="{2D110F34-DF2D-4E7E-A5D8-D2F2E23E4DB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07525" y="90720"/>
          <a:ext cx="5429865" cy="1334726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203687</xdr:colOff>
      <xdr:row>4</xdr:row>
      <xdr:rowOff>100327</xdr:rowOff>
    </xdr:from>
    <xdr:ext cx="1759727" cy="625217"/>
    <xdr:pic>
      <xdr:nvPicPr>
        <xdr:cNvPr id="2" name="Imagem 8">
          <a:extLst>
            <a:ext uri="{FF2B5EF4-FFF2-40B4-BE49-F238E27FC236}">
              <a16:creationId xmlns:a16="http://schemas.microsoft.com/office/drawing/2014/main" id="{A08A607F-ECE1-47BB-9871-5262E5C6D7D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29991" y="753470"/>
          <a:ext cx="1759727" cy="625217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B51E75-C114-4A1F-832D-8E730552EF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D8E016-D34B-4974-A5C0-DABF41A2A4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1A646B-8DA7-4014-B480-7CA8BD1B87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C71B89-D10F-6553-1701-A5E033E798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D82174-1AA8-00C2-1FF6-71E9CA0873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640845" cy="60110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2D4C4D-6304-B735-4855-C7BCC5D326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440533</xdr:colOff>
      <xdr:row>14</xdr:row>
      <xdr:rowOff>0</xdr:rowOff>
    </xdr:from>
    <xdr:to>
      <xdr:col>10</xdr:col>
      <xdr:colOff>536793</xdr:colOff>
      <xdr:row>17</xdr:row>
      <xdr:rowOff>79702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AC54D6-1E37-4C50-8477-4D4B92A24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9017" y="2089547"/>
          <a:ext cx="1447619" cy="561905"/>
        </a:xfrm>
        <a:prstGeom prst="rect">
          <a:avLst/>
        </a:prstGeom>
      </xdr:spPr>
    </xdr:pic>
    <xdr:clientData/>
  </xdr:twoCellAnchor>
  <xdr:twoCellAnchor editAs="oneCell">
    <xdr:from>
      <xdr:col>9</xdr:col>
      <xdr:colOff>416718</xdr:colOff>
      <xdr:row>17</xdr:row>
      <xdr:rowOff>89299</xdr:rowOff>
    </xdr:from>
    <xdr:to>
      <xdr:col>12</xdr:col>
      <xdr:colOff>305765</xdr:colOff>
      <xdr:row>21</xdr:row>
      <xdr:rowOff>65409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1D3D598-F39F-4AB0-BB8A-492313BC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3156" y="2821783"/>
          <a:ext cx="1800000" cy="6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803669</xdr:colOff>
      <xdr:row>4</xdr:row>
      <xdr:rowOff>3</xdr:rowOff>
    </xdr:from>
    <xdr:to>
      <xdr:col>10</xdr:col>
      <xdr:colOff>407558</xdr:colOff>
      <xdr:row>8</xdr:row>
      <xdr:rowOff>73898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2780CF-BF69-49B7-F9E7-699DAF3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2138" y="642941"/>
          <a:ext cx="3038842" cy="716832"/>
        </a:xfrm>
        <a:prstGeom prst="rect">
          <a:avLst/>
        </a:prstGeom>
      </xdr:spPr>
    </xdr:pic>
    <xdr:clientData/>
  </xdr:twoCellAnchor>
  <xdr:twoCellAnchor editAs="oneCell">
    <xdr:from>
      <xdr:col>8</xdr:col>
      <xdr:colOff>535782</xdr:colOff>
      <xdr:row>9</xdr:row>
      <xdr:rowOff>11907</xdr:rowOff>
    </xdr:from>
    <xdr:to>
      <xdr:col>11</xdr:col>
      <xdr:colOff>119064</xdr:colOff>
      <xdr:row>12</xdr:row>
      <xdr:rowOff>87376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5D6A855-3E0F-479C-BFA5-FE71B6A5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54266" y="1458516"/>
          <a:ext cx="1571625" cy="5576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166685</xdr:colOff>
      <xdr:row>8</xdr:row>
      <xdr:rowOff>136925</xdr:rowOff>
    </xdr:from>
    <xdr:to>
      <xdr:col>13</xdr:col>
      <xdr:colOff>580199</xdr:colOff>
      <xdr:row>13</xdr:row>
      <xdr:rowOff>50085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D07CF5E-9F8B-4184-ABD7-516404B05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3" y="1422800"/>
          <a:ext cx="3038842" cy="716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6"/>
  <sheetViews>
    <sheetView showGridLines="0" zoomScale="140" zoomScaleNormal="140" workbookViewId="0"/>
  </sheetViews>
  <sheetFormatPr defaultRowHeight="12.75" x14ac:dyDescent="0.2"/>
  <cols>
    <col min="1" max="1" width="4.28515625" customWidth="1"/>
    <col min="2" max="2" width="6.85546875" customWidth="1"/>
    <col min="3" max="3" width="9.42578125" customWidth="1"/>
  </cols>
  <sheetData>
    <row r="2" spans="1:12" x14ac:dyDescent="0.2">
      <c r="B2" s="33" t="s">
        <v>45</v>
      </c>
      <c r="C2" s="33" t="s">
        <v>46</v>
      </c>
      <c r="D2" s="30"/>
      <c r="E2" s="34"/>
      <c r="F2" s="33"/>
      <c r="H2" s="33"/>
      <c r="K2" s="33"/>
      <c r="L2" s="33"/>
    </row>
    <row r="3" spans="1:12" x14ac:dyDescent="0.2">
      <c r="B3" s="33"/>
      <c r="C3" s="33" t="s">
        <v>63</v>
      </c>
      <c r="D3" s="30"/>
      <c r="E3" s="34"/>
      <c r="F3" s="33"/>
      <c r="H3" s="33"/>
      <c r="K3" s="33"/>
      <c r="L3" s="33"/>
    </row>
    <row r="4" spans="1:12" x14ac:dyDescent="0.2">
      <c r="B4" s="33"/>
      <c r="C4" s="33" t="s">
        <v>14</v>
      </c>
      <c r="D4" s="38" t="s">
        <v>40</v>
      </c>
      <c r="E4" s="34"/>
      <c r="F4" s="33"/>
      <c r="H4" s="33"/>
      <c r="K4" s="33"/>
      <c r="L4" s="33"/>
    </row>
    <row r="5" spans="1:12" x14ac:dyDescent="0.2">
      <c r="B5" s="33"/>
      <c r="C5" s="33" t="s">
        <v>59</v>
      </c>
      <c r="D5" s="38" t="s">
        <v>41</v>
      </c>
      <c r="E5" s="34"/>
      <c r="F5" s="33"/>
      <c r="H5" s="33"/>
      <c r="K5" s="33"/>
      <c r="L5" s="33"/>
    </row>
    <row r="6" spans="1:12" x14ac:dyDescent="0.2">
      <c r="B6" s="33"/>
      <c r="C6" s="33" t="s">
        <v>42</v>
      </c>
      <c r="D6" s="38" t="s">
        <v>43</v>
      </c>
      <c r="E6" s="34"/>
      <c r="F6" s="33"/>
      <c r="H6" s="33"/>
      <c r="K6" s="33"/>
      <c r="L6" s="33"/>
    </row>
    <row r="7" spans="1:12" x14ac:dyDescent="0.2">
      <c r="B7" s="33"/>
      <c r="C7" s="33"/>
      <c r="D7" s="30"/>
      <c r="E7" s="34"/>
      <c r="F7" s="33"/>
      <c r="H7" s="33"/>
      <c r="K7" s="33"/>
      <c r="L7" s="33"/>
    </row>
    <row r="8" spans="1:12" x14ac:dyDescent="0.2">
      <c r="B8" s="33" t="s">
        <v>47</v>
      </c>
      <c r="C8" s="33" t="s">
        <v>49</v>
      </c>
      <c r="D8" s="30"/>
      <c r="E8" s="34"/>
      <c r="F8" s="33"/>
      <c r="H8" s="33"/>
      <c r="K8" s="33"/>
      <c r="L8" s="33"/>
    </row>
    <row r="9" spans="1:12" x14ac:dyDescent="0.2">
      <c r="B9" s="33"/>
      <c r="C9" s="33" t="s">
        <v>64</v>
      </c>
      <c r="D9" s="30"/>
      <c r="E9" s="34"/>
      <c r="F9" s="33"/>
      <c r="H9" s="33"/>
      <c r="K9" s="33"/>
      <c r="L9" s="33"/>
    </row>
    <row r="10" spans="1:12" x14ac:dyDescent="0.2">
      <c r="E10" s="37"/>
    </row>
    <row r="11" spans="1:12" x14ac:dyDescent="0.2">
      <c r="B11" s="33" t="s">
        <v>48</v>
      </c>
      <c r="C11" s="33" t="s">
        <v>50</v>
      </c>
      <c r="D11" s="33"/>
    </row>
    <row r="12" spans="1:12" x14ac:dyDescent="0.2">
      <c r="A12" s="33" t="s">
        <v>52</v>
      </c>
      <c r="B12" s="33" t="s">
        <v>53</v>
      </c>
      <c r="C12" s="33"/>
      <c r="D12" s="33"/>
      <c r="E12" s="33"/>
    </row>
    <row r="13" spans="1:12" x14ac:dyDescent="0.2">
      <c r="A13" s="33" t="s">
        <v>52</v>
      </c>
      <c r="B13" s="33" t="s">
        <v>54</v>
      </c>
      <c r="C13" s="33" t="s">
        <v>51</v>
      </c>
      <c r="E13" s="33"/>
    </row>
    <row r="15" spans="1:12" x14ac:dyDescent="0.2">
      <c r="B15" s="33" t="s">
        <v>44</v>
      </c>
      <c r="C15" s="33" t="s">
        <v>55</v>
      </c>
      <c r="D15" s="33"/>
      <c r="F15" s="33"/>
    </row>
    <row r="16" spans="1:12" x14ac:dyDescent="0.2">
      <c r="A16" s="33" t="s">
        <v>52</v>
      </c>
      <c r="B16" s="33" t="s">
        <v>56</v>
      </c>
      <c r="D16" s="33"/>
      <c r="F16" s="33"/>
    </row>
    <row r="17" spans="1:6" x14ac:dyDescent="0.2">
      <c r="A17" s="33" t="s">
        <v>52</v>
      </c>
      <c r="B17" s="33" t="s">
        <v>57</v>
      </c>
      <c r="C17" s="33" t="s">
        <v>58</v>
      </c>
    </row>
    <row r="19" spans="1:6" x14ac:dyDescent="0.2">
      <c r="B19" s="33" t="s">
        <v>39</v>
      </c>
      <c r="C19" s="33" t="s">
        <v>61</v>
      </c>
    </row>
    <row r="20" spans="1:6" x14ac:dyDescent="0.2">
      <c r="A20" s="33" t="s">
        <v>52</v>
      </c>
      <c r="B20" s="33" t="s">
        <v>60</v>
      </c>
      <c r="C20" s="33" t="s">
        <v>62</v>
      </c>
    </row>
    <row r="22" spans="1:6" x14ac:dyDescent="0.2">
      <c r="B22" s="33" t="s">
        <v>65</v>
      </c>
      <c r="C22" s="33" t="s">
        <v>66</v>
      </c>
      <c r="D22" s="30"/>
    </row>
    <row r="24" spans="1:6" x14ac:dyDescent="0.2">
      <c r="B24" t="s">
        <v>67</v>
      </c>
      <c r="C24" s="33" t="s">
        <v>69</v>
      </c>
      <c r="F24" s="33"/>
    </row>
    <row r="25" spans="1:6" x14ac:dyDescent="0.2">
      <c r="A25" t="s">
        <v>52</v>
      </c>
      <c r="B25" t="s">
        <v>68</v>
      </c>
      <c r="C25" s="33" t="s">
        <v>70</v>
      </c>
      <c r="D25" s="31"/>
    </row>
    <row r="26" spans="1:6" x14ac:dyDescent="0.2">
      <c r="A26" t="s">
        <v>52</v>
      </c>
      <c r="B26" t="s">
        <v>71</v>
      </c>
      <c r="C26" s="33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6352-A6E6-430F-8CF3-6B49DB2ECBC2}">
  <dimension ref="B3:D17"/>
  <sheetViews>
    <sheetView zoomScale="180" zoomScaleNormal="180" workbookViewId="0"/>
  </sheetViews>
  <sheetFormatPr defaultColWidth="11.5703125" defaultRowHeight="12.75" x14ac:dyDescent="0.2"/>
  <cols>
    <col min="1" max="1" width="2.5703125" style="57" customWidth="1"/>
    <col min="2" max="2" width="9.7109375" style="57" customWidth="1"/>
    <col min="3" max="3" width="12.5703125" style="57" customWidth="1"/>
    <col min="4" max="4" width="5.140625" style="57" customWidth="1"/>
    <col min="5" max="16384" width="11.5703125" style="57"/>
  </cols>
  <sheetData>
    <row r="3" spans="2:4" x14ac:dyDescent="0.2">
      <c r="B3" s="57" t="s">
        <v>26</v>
      </c>
      <c r="C3" s="90">
        <v>600</v>
      </c>
    </row>
    <row r="4" spans="2:4" x14ac:dyDescent="0.2">
      <c r="B4" s="57" t="s">
        <v>13</v>
      </c>
      <c r="C4" s="67">
        <v>0.03</v>
      </c>
      <c r="D4" s="57" t="s">
        <v>15</v>
      </c>
    </row>
    <row r="5" spans="2:4" x14ac:dyDescent="0.2">
      <c r="B5" s="57" t="s">
        <v>21</v>
      </c>
      <c r="C5" s="57">
        <v>7</v>
      </c>
    </row>
    <row r="7" spans="2:4" x14ac:dyDescent="0.2">
      <c r="B7" s="57" t="s">
        <v>3</v>
      </c>
      <c r="C7" s="90">
        <f>C3*((1+C4)^C5-1)/((1+C4)^C5*C4)</f>
        <v>3738.1697731329245</v>
      </c>
    </row>
    <row r="11" spans="2:4" x14ac:dyDescent="0.2">
      <c r="B11" s="86" t="s">
        <v>183</v>
      </c>
      <c r="C11" s="57">
        <f>(1+C4)^C5</f>
        <v>1.22987386542487</v>
      </c>
    </row>
    <row r="12" spans="2:4" x14ac:dyDescent="0.2">
      <c r="B12" s="86" t="s">
        <v>182</v>
      </c>
      <c r="C12" s="57">
        <f>C11-1</f>
        <v>0.22987386542486998</v>
      </c>
    </row>
    <row r="13" spans="2:4" x14ac:dyDescent="0.2">
      <c r="B13" s="86" t="s">
        <v>181</v>
      </c>
      <c r="C13" s="57">
        <f>C11*C4</f>
        <v>3.6896215962746101E-2</v>
      </c>
    </row>
    <row r="15" spans="2:4" x14ac:dyDescent="0.2">
      <c r="B15" s="57" t="s">
        <v>180</v>
      </c>
      <c r="C15" s="57">
        <f>C12/C13</f>
        <v>6.2302829552215409</v>
      </c>
    </row>
    <row r="16" spans="2:4" x14ac:dyDescent="0.2">
      <c r="B16" s="57" t="s">
        <v>3</v>
      </c>
      <c r="C16" s="90">
        <f>C15*C3</f>
        <v>3738.1697731329245</v>
      </c>
    </row>
    <row r="17" spans="2:4" x14ac:dyDescent="0.2">
      <c r="B17" s="57" t="s">
        <v>3</v>
      </c>
      <c r="C17" s="107">
        <f>PV(C4,C5,C3)</f>
        <v>-3738.1697731329245</v>
      </c>
      <c r="D17" s="57" t="s">
        <v>179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F87-DD27-42FD-98D0-314C4C325738}">
  <dimension ref="A2:E33"/>
  <sheetViews>
    <sheetView showGridLines="0" zoomScale="160" zoomScaleNormal="160" workbookViewId="0">
      <selection activeCell="A6" sqref="A6"/>
    </sheetView>
  </sheetViews>
  <sheetFormatPr defaultColWidth="8.7109375" defaultRowHeight="12.75" x14ac:dyDescent="0.2"/>
  <cols>
    <col min="1" max="1" width="2.7109375" style="57" customWidth="1"/>
    <col min="2" max="2" width="8.7109375" style="57"/>
    <col min="3" max="3" width="13.85546875" style="57" customWidth="1"/>
    <col min="4" max="4" width="7.5703125" style="57" customWidth="1"/>
    <col min="5" max="5" width="8.7109375" style="57"/>
    <col min="6" max="6" width="13" style="57" customWidth="1"/>
    <col min="7" max="8" width="8.7109375" style="57"/>
    <col min="9" max="9" width="10.7109375" style="57" customWidth="1"/>
    <col min="10" max="12" width="9.5703125" style="57" customWidth="1"/>
    <col min="13" max="13" width="10.7109375" style="57" customWidth="1"/>
    <col min="14" max="16384" width="8.7109375" style="57"/>
  </cols>
  <sheetData>
    <row r="2" spans="1:5" x14ac:dyDescent="0.2">
      <c r="A2" s="65"/>
      <c r="B2" s="65" t="s">
        <v>106</v>
      </c>
    </row>
    <row r="3" spans="1:5" x14ac:dyDescent="0.2">
      <c r="B3" s="65" t="s">
        <v>107</v>
      </c>
    </row>
    <row r="4" spans="1:5" ht="42.4" customHeight="1" x14ac:dyDescent="0.2"/>
    <row r="5" spans="1:5" x14ac:dyDescent="0.2">
      <c r="B5" s="57" t="s">
        <v>13</v>
      </c>
      <c r="C5" s="114">
        <v>0.02</v>
      </c>
      <c r="D5" s="57" t="s">
        <v>15</v>
      </c>
      <c r="E5" s="65" t="s">
        <v>101</v>
      </c>
    </row>
    <row r="6" spans="1:5" x14ac:dyDescent="0.2">
      <c r="B6" s="57" t="s">
        <v>21</v>
      </c>
      <c r="C6" s="57">
        <v>18</v>
      </c>
      <c r="D6" s="57" t="s">
        <v>22</v>
      </c>
      <c r="E6" s="65" t="s">
        <v>24</v>
      </c>
    </row>
    <row r="7" spans="1:5" x14ac:dyDescent="0.2">
      <c r="B7" s="57" t="s">
        <v>3</v>
      </c>
      <c r="C7" s="108">
        <v>30000</v>
      </c>
      <c r="E7" s="65" t="s">
        <v>102</v>
      </c>
    </row>
    <row r="9" spans="1:5" x14ac:dyDescent="0.2">
      <c r="B9" s="57" t="s">
        <v>25</v>
      </c>
      <c r="C9" s="113">
        <f>((1+C5)^C6)*C5/((1+C5)^C6-1)</f>
        <v>6.6702102150790948E-2</v>
      </c>
      <c r="E9" s="65" t="s">
        <v>103</v>
      </c>
    </row>
    <row r="10" spans="1:5" x14ac:dyDescent="0.2">
      <c r="B10" s="110" t="s">
        <v>26</v>
      </c>
      <c r="C10" s="112">
        <f>C9*C7</f>
        <v>2001.0630645237284</v>
      </c>
      <c r="E10" s="65" t="s">
        <v>104</v>
      </c>
    </row>
    <row r="11" spans="1:5" x14ac:dyDescent="0.2">
      <c r="C11" s="111"/>
    </row>
    <row r="13" spans="1:5" x14ac:dyDescent="0.2">
      <c r="B13" s="57" t="s">
        <v>26</v>
      </c>
      <c r="C13" s="108">
        <f>PMT(C5,C6,-C7)</f>
        <v>2001.0630645237281</v>
      </c>
      <c r="E13" s="65" t="s">
        <v>105</v>
      </c>
    </row>
    <row r="15" spans="1:5" x14ac:dyDescent="0.2">
      <c r="B15" s="65" t="s">
        <v>91</v>
      </c>
      <c r="C15" s="108">
        <f>C10*C6</f>
        <v>36019.135161427112</v>
      </c>
      <c r="E15" s="65" t="s">
        <v>117</v>
      </c>
    </row>
    <row r="17" spans="1:5" x14ac:dyDescent="0.2">
      <c r="A17" s="65" t="s">
        <v>29</v>
      </c>
      <c r="B17" s="65" t="s">
        <v>118</v>
      </c>
    </row>
    <row r="19" spans="1:5" x14ac:dyDescent="0.2">
      <c r="B19" s="57" t="s">
        <v>90</v>
      </c>
      <c r="C19" s="57">
        <f>(1+C5)^C6</f>
        <v>1.4282462475762727</v>
      </c>
      <c r="E19" s="65" t="s">
        <v>103</v>
      </c>
    </row>
    <row r="20" spans="1:5" x14ac:dyDescent="0.2">
      <c r="B20" s="110" t="s">
        <v>27</v>
      </c>
      <c r="C20" s="109">
        <f>C19*C7</f>
        <v>42847.38742728818</v>
      </c>
      <c r="E20" s="65" t="s">
        <v>104</v>
      </c>
    </row>
    <row r="22" spans="1:5" x14ac:dyDescent="0.2">
      <c r="B22" s="57" t="s">
        <v>27</v>
      </c>
      <c r="C22" s="108">
        <f>FV(C5,C6,,-C7)</f>
        <v>42847.38742728818</v>
      </c>
      <c r="E22" s="65" t="s">
        <v>108</v>
      </c>
    </row>
    <row r="24" spans="1:5" x14ac:dyDescent="0.2">
      <c r="B24" s="65" t="s">
        <v>109</v>
      </c>
    </row>
    <row r="26" spans="1:5" x14ac:dyDescent="0.2">
      <c r="B26" s="65" t="s">
        <v>27</v>
      </c>
      <c r="C26" s="108">
        <f>FV(C5,C6,-C13)</f>
        <v>42847.387427288173</v>
      </c>
      <c r="E26" s="65" t="s">
        <v>108</v>
      </c>
    </row>
    <row r="27" spans="1:5" x14ac:dyDescent="0.2">
      <c r="E27" s="65" t="s">
        <v>110</v>
      </c>
    </row>
    <row r="29" spans="1:5" x14ac:dyDescent="0.2">
      <c r="B29" s="65" t="s">
        <v>92</v>
      </c>
      <c r="C29" s="57">
        <f>((1+C5)^C6-1)/C5</f>
        <v>21.412312378813635</v>
      </c>
      <c r="E29" s="65" t="s">
        <v>103</v>
      </c>
    </row>
    <row r="30" spans="1:5" x14ac:dyDescent="0.2">
      <c r="B30" s="65" t="s">
        <v>27</v>
      </c>
      <c r="C30" s="108">
        <f>C29*C13</f>
        <v>42847.387427288173</v>
      </c>
    </row>
    <row r="33" spans="2:2" x14ac:dyDescent="0.2">
      <c r="B33" s="65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D404-C366-4DCA-BF7B-C2F2B8B4C432}">
  <dimension ref="B10:E18"/>
  <sheetViews>
    <sheetView showGridLines="0" zoomScale="140" zoomScaleNormal="140" workbookViewId="0">
      <selection activeCell="D12" sqref="D12"/>
    </sheetView>
  </sheetViews>
  <sheetFormatPr defaultColWidth="11.5703125" defaultRowHeight="12.75" x14ac:dyDescent="0.2"/>
  <cols>
    <col min="1" max="1" width="2.140625" style="57" customWidth="1"/>
    <col min="2" max="16384" width="11.5703125" style="57"/>
  </cols>
  <sheetData>
    <row r="10" spans="2:5" x14ac:dyDescent="0.2">
      <c r="B10" s="57" t="s">
        <v>203</v>
      </c>
      <c r="C10" s="90">
        <v>1500</v>
      </c>
      <c r="E10" s="57" t="s">
        <v>202</v>
      </c>
    </row>
    <row r="11" spans="2:5" x14ac:dyDescent="0.2">
      <c r="B11" s="57" t="s">
        <v>26</v>
      </c>
      <c r="C11" s="90">
        <v>1225.48</v>
      </c>
      <c r="E11" s="57" t="s">
        <v>201</v>
      </c>
    </row>
    <row r="12" spans="2:5" x14ac:dyDescent="0.2">
      <c r="B12" s="57" t="s">
        <v>21</v>
      </c>
      <c r="C12" s="57">
        <v>3</v>
      </c>
      <c r="D12" s="57" t="s">
        <v>22</v>
      </c>
      <c r="E12" s="57" t="s">
        <v>200</v>
      </c>
    </row>
    <row r="13" spans="2:5" x14ac:dyDescent="0.2">
      <c r="B13" s="57" t="s">
        <v>13</v>
      </c>
      <c r="C13" s="67">
        <v>0.02</v>
      </c>
      <c r="D13" s="57" t="s">
        <v>15</v>
      </c>
    </row>
    <row r="15" spans="2:5" x14ac:dyDescent="0.2">
      <c r="B15" s="57" t="s">
        <v>180</v>
      </c>
      <c r="C15" s="125">
        <f>((1+C13)^C12-1)/((1+C13)^C12*C13)</f>
        <v>2.8838832726477719</v>
      </c>
    </row>
    <row r="16" spans="2:5" x14ac:dyDescent="0.2">
      <c r="B16" s="57" t="s">
        <v>199</v>
      </c>
      <c r="C16" s="90">
        <f>C15*C11</f>
        <v>3534.1412729643916</v>
      </c>
      <c r="E16" s="57" t="s">
        <v>198</v>
      </c>
    </row>
    <row r="18" spans="2:3" x14ac:dyDescent="0.2">
      <c r="B18" s="124" t="s">
        <v>197</v>
      </c>
      <c r="C18" s="123">
        <f>C16+C10</f>
        <v>5034.1412729643916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3D6A-3429-4D49-85E6-851CC7E1D41C}">
  <dimension ref="B2:F21"/>
  <sheetViews>
    <sheetView showGridLines="0" zoomScale="160" zoomScaleNormal="160" workbookViewId="0"/>
  </sheetViews>
  <sheetFormatPr defaultRowHeight="12.75" x14ac:dyDescent="0.2"/>
  <cols>
    <col min="1" max="1" width="2.7109375" customWidth="1"/>
    <col min="2" max="2" width="10.42578125" customWidth="1"/>
    <col min="3" max="3" width="13" bestFit="1" customWidth="1"/>
    <col min="4" max="4" width="7.5703125" customWidth="1"/>
    <col min="6" max="6" width="13" bestFit="1" customWidth="1"/>
    <col min="9" max="9" width="12.85546875" bestFit="1" customWidth="1"/>
    <col min="12" max="12" width="10.7109375" bestFit="1" customWidth="1"/>
    <col min="13" max="15" width="9.5703125" bestFit="1" customWidth="1"/>
    <col min="16" max="16" width="10.7109375" bestFit="1" customWidth="1"/>
  </cols>
  <sheetData>
    <row r="2" spans="2:6" x14ac:dyDescent="0.2">
      <c r="B2" t="s">
        <v>100</v>
      </c>
    </row>
    <row r="4" spans="2:6" x14ac:dyDescent="0.2">
      <c r="B4" t="s">
        <v>93</v>
      </c>
      <c r="C4" s="43">
        <v>15000</v>
      </c>
      <c r="E4" s="33" t="s">
        <v>111</v>
      </c>
    </row>
    <row r="5" spans="2:6" x14ac:dyDescent="0.2">
      <c r="B5" t="s">
        <v>26</v>
      </c>
      <c r="C5" s="43">
        <v>5800</v>
      </c>
      <c r="E5" s="33" t="s">
        <v>112</v>
      </c>
    </row>
    <row r="6" spans="2:6" x14ac:dyDescent="0.2">
      <c r="B6" t="s">
        <v>21</v>
      </c>
      <c r="C6">
        <v>3</v>
      </c>
      <c r="D6" s="33" t="s">
        <v>22</v>
      </c>
      <c r="E6" s="33" t="s">
        <v>24</v>
      </c>
    </row>
    <row r="8" spans="2:6" x14ac:dyDescent="0.2">
      <c r="B8" s="33" t="s">
        <v>115</v>
      </c>
      <c r="C8">
        <f>C4/C5</f>
        <v>2.5862068965517242</v>
      </c>
      <c r="E8" s="33" t="s">
        <v>113</v>
      </c>
      <c r="F8" s="40"/>
    </row>
    <row r="10" spans="2:6" x14ac:dyDescent="0.2">
      <c r="B10" s="45" t="s">
        <v>13</v>
      </c>
      <c r="C10" s="48">
        <v>7.8046744632241496E-2</v>
      </c>
      <c r="D10" s="45" t="s">
        <v>15</v>
      </c>
      <c r="E10" s="33" t="s">
        <v>121</v>
      </c>
    </row>
    <row r="11" spans="2:6" x14ac:dyDescent="0.2">
      <c r="E11" s="33" t="s">
        <v>122</v>
      </c>
    </row>
    <row r="13" spans="2:6" x14ac:dyDescent="0.2">
      <c r="B13" t="s">
        <v>94</v>
      </c>
      <c r="C13">
        <f>((1+C10)^C6-1)/(C10*(1+C10)^C6)</f>
        <v>2.5862068998962906</v>
      </c>
      <c r="E13" s="33" t="s">
        <v>114</v>
      </c>
    </row>
    <row r="14" spans="2:6" x14ac:dyDescent="0.2">
      <c r="B14" t="s">
        <v>95</v>
      </c>
      <c r="C14" s="50">
        <f>C13-C8</f>
        <v>3.3445664016085175E-9</v>
      </c>
      <c r="E14" s="33" t="s">
        <v>116</v>
      </c>
    </row>
    <row r="16" spans="2:6" x14ac:dyDescent="0.2">
      <c r="B16" t="s">
        <v>96</v>
      </c>
      <c r="C16" s="43">
        <f>PMT(C10,C6,-C4)</f>
        <v>5799.9999924992517</v>
      </c>
      <c r="E16" s="33" t="s">
        <v>119</v>
      </c>
      <c r="F16" s="32"/>
    </row>
    <row r="17" spans="2:5" x14ac:dyDescent="0.2">
      <c r="B17" t="s">
        <v>95</v>
      </c>
      <c r="C17" s="43">
        <f>C16-C5</f>
        <v>-7.5007483246736228E-6</v>
      </c>
      <c r="E17" s="33" t="s">
        <v>120</v>
      </c>
    </row>
    <row r="19" spans="2:5" x14ac:dyDescent="0.2">
      <c r="B19" s="33" t="s">
        <v>123</v>
      </c>
    </row>
    <row r="20" spans="2:5" x14ac:dyDescent="0.2">
      <c r="B20" s="33" t="s">
        <v>124</v>
      </c>
    </row>
    <row r="21" spans="2:5" x14ac:dyDescent="0.2">
      <c r="B21" s="3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516C-1C05-4786-A044-50C4BCD33E30}">
  <dimension ref="B2:G18"/>
  <sheetViews>
    <sheetView showGridLines="0" zoomScale="160" zoomScaleNormal="160" workbookViewId="0">
      <selection activeCell="B12" sqref="B12"/>
    </sheetView>
  </sheetViews>
  <sheetFormatPr defaultColWidth="11.5703125" defaultRowHeight="12.75" x14ac:dyDescent="0.2"/>
  <cols>
    <col min="1" max="1" width="2.85546875" style="57" customWidth="1"/>
    <col min="2" max="16384" width="11.5703125" style="57"/>
  </cols>
  <sheetData>
    <row r="2" spans="2:7" x14ac:dyDescent="0.2">
      <c r="B2" s="57" t="s">
        <v>192</v>
      </c>
    </row>
    <row r="3" spans="2:7" x14ac:dyDescent="0.2">
      <c r="B3" s="57" t="s">
        <v>191</v>
      </c>
    </row>
    <row r="5" spans="2:7" x14ac:dyDescent="0.2">
      <c r="B5" s="57" t="s">
        <v>3</v>
      </c>
      <c r="C5" s="90">
        <v>2500</v>
      </c>
    </row>
    <row r="6" spans="2:7" x14ac:dyDescent="0.2">
      <c r="B6" s="57" t="s">
        <v>26</v>
      </c>
      <c r="C6" s="90">
        <v>300</v>
      </c>
    </row>
    <row r="7" spans="2:7" x14ac:dyDescent="0.2">
      <c r="B7" s="57" t="s">
        <v>21</v>
      </c>
      <c r="C7" s="57">
        <v>12</v>
      </c>
    </row>
    <row r="9" spans="2:7" x14ac:dyDescent="0.2">
      <c r="B9" s="57" t="s">
        <v>25</v>
      </c>
      <c r="C9" s="116">
        <f>C6/C5</f>
        <v>0.12</v>
      </c>
      <c r="D9" s="57" t="s">
        <v>190</v>
      </c>
    </row>
    <row r="10" spans="2:7" x14ac:dyDescent="0.2">
      <c r="G10" s="115"/>
    </row>
    <row r="11" spans="2:7" x14ac:dyDescent="0.2">
      <c r="B11" s="117" t="s">
        <v>13</v>
      </c>
      <c r="C11" s="118">
        <v>6.1102499999999997E-2</v>
      </c>
      <c r="D11" s="57" t="s">
        <v>189</v>
      </c>
    </row>
    <row r="13" spans="2:7" x14ac:dyDescent="0.2">
      <c r="B13" s="57" t="s">
        <v>25</v>
      </c>
      <c r="C13" s="57">
        <f>C11*(1+C11)^C7/((1+C11)^C7-1)</f>
        <v>0.11999902313212474</v>
      </c>
      <c r="D13" s="57" t="s">
        <v>188</v>
      </c>
    </row>
    <row r="14" spans="2:7" x14ac:dyDescent="0.2">
      <c r="B14" s="57" t="s">
        <v>186</v>
      </c>
      <c r="C14" s="57">
        <f>C9-C13</f>
        <v>9.768678752575255E-7</v>
      </c>
      <c r="D14" s="57" t="s">
        <v>185</v>
      </c>
    </row>
    <row r="16" spans="2:7" x14ac:dyDescent="0.2">
      <c r="B16" s="57" t="s">
        <v>187</v>
      </c>
    </row>
    <row r="18" spans="2:4" x14ac:dyDescent="0.2">
      <c r="B18" s="57" t="s">
        <v>13</v>
      </c>
      <c r="C18" s="115">
        <f>RATE(C7,C6,-C5)</f>
        <v>6.1103989526496642E-2</v>
      </c>
      <c r="D18" s="57" t="s">
        <v>184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A5C4-0477-4370-8A26-75622A2B6580}">
  <dimension ref="B2:F18"/>
  <sheetViews>
    <sheetView showGridLines="0" zoomScale="140" zoomScaleNormal="140" workbookViewId="0">
      <selection activeCell="E16" sqref="E16"/>
    </sheetView>
  </sheetViews>
  <sheetFormatPr defaultColWidth="11.5703125" defaultRowHeight="12.75" x14ac:dyDescent="0.2"/>
  <cols>
    <col min="1" max="1" width="3.5703125" style="57" customWidth="1"/>
    <col min="2" max="2" width="9.42578125" style="57" customWidth="1"/>
    <col min="3" max="3" width="12.7109375" style="57" customWidth="1"/>
    <col min="4" max="4" width="5.5703125" style="57" customWidth="1"/>
    <col min="5" max="16384" width="11.5703125" style="57"/>
  </cols>
  <sheetData>
    <row r="2" spans="2:6" x14ac:dyDescent="0.2">
      <c r="B2" s="57" t="s">
        <v>195</v>
      </c>
    </row>
    <row r="3" spans="2:6" x14ac:dyDescent="0.2">
      <c r="B3" s="57" t="s">
        <v>37</v>
      </c>
    </row>
    <row r="5" spans="2:6" x14ac:dyDescent="0.2">
      <c r="B5" s="57" t="s">
        <v>21</v>
      </c>
      <c r="C5" s="57">
        <v>20</v>
      </c>
      <c r="D5" s="57" t="s">
        <v>194</v>
      </c>
      <c r="E5" s="57">
        <f>C5*12</f>
        <v>240</v>
      </c>
      <c r="F5" s="57" t="s">
        <v>22</v>
      </c>
    </row>
    <row r="6" spans="2:6" x14ac:dyDescent="0.2">
      <c r="B6" s="57" t="s">
        <v>13</v>
      </c>
      <c r="C6" s="67">
        <v>0.08</v>
      </c>
      <c r="D6" s="57" t="s">
        <v>14</v>
      </c>
      <c r="E6" s="119">
        <f>(1+C6)^(1/12)-1</f>
        <v>6.4340301100034303E-3</v>
      </c>
      <c r="F6" s="57" t="s">
        <v>15</v>
      </c>
    </row>
    <row r="8" spans="2:6" x14ac:dyDescent="0.2">
      <c r="B8" s="57" t="s">
        <v>27</v>
      </c>
      <c r="C8" s="90">
        <v>1000000</v>
      </c>
    </row>
    <row r="10" spans="2:6" x14ac:dyDescent="0.2">
      <c r="B10" s="57" t="s">
        <v>92</v>
      </c>
      <c r="C10" s="57">
        <f>((1+E6)^E5-1)/E6</f>
        <v>568.99906920816943</v>
      </c>
    </row>
    <row r="11" spans="2:6" x14ac:dyDescent="0.2">
      <c r="B11" s="121" t="s">
        <v>26</v>
      </c>
      <c r="C11" s="122">
        <f>C8/C10</f>
        <v>1757.472119227928</v>
      </c>
    </row>
    <row r="13" spans="2:6" x14ac:dyDescent="0.2">
      <c r="B13" s="57" t="s">
        <v>196</v>
      </c>
    </row>
    <row r="15" spans="2:6" x14ac:dyDescent="0.2">
      <c r="B15" s="57" t="s">
        <v>3</v>
      </c>
      <c r="C15" s="90">
        <f>C8/(1+E6)^E5</f>
        <v>214548.20740405741</v>
      </c>
      <c r="E15" s="57" t="s">
        <v>193</v>
      </c>
    </row>
    <row r="17" spans="2:3" x14ac:dyDescent="0.2">
      <c r="B17" s="57" t="s">
        <v>25</v>
      </c>
      <c r="C17" s="57">
        <f>E6*(1+E6)^E5/((1+E6)^E5-1)</f>
        <v>8.1915022292313577E-3</v>
      </c>
    </row>
    <row r="18" spans="2:3" x14ac:dyDescent="0.2">
      <c r="B18" s="117" t="s">
        <v>26</v>
      </c>
      <c r="C18" s="120">
        <f>C17*C15</f>
        <v>1757.472119227928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0"/>
  <sheetViews>
    <sheetView showGridLines="0" tabSelected="1" zoomScale="160" zoomScaleNormal="160" workbookViewId="0"/>
  </sheetViews>
  <sheetFormatPr defaultRowHeight="12.75" x14ac:dyDescent="0.2"/>
  <cols>
    <col min="1" max="1" width="1.7109375" customWidth="1"/>
    <col min="2" max="2" width="5.42578125" customWidth="1"/>
    <col min="3" max="3" width="11.42578125" customWidth="1"/>
    <col min="4" max="4" width="4.7109375" bestFit="1" customWidth="1"/>
    <col min="5" max="5" width="7.28515625" customWidth="1"/>
    <col min="7" max="7" width="10.7109375" bestFit="1" customWidth="1"/>
    <col min="8" max="8" width="9.5703125" bestFit="1" customWidth="1"/>
    <col min="9" max="11" width="10.7109375" bestFit="1" customWidth="1"/>
    <col min="14" max="14" width="10.7109375" bestFit="1" customWidth="1"/>
    <col min="15" max="17" width="9.5703125" bestFit="1" customWidth="1"/>
    <col min="18" max="18" width="10.7109375" bestFit="1" customWidth="1"/>
  </cols>
  <sheetData>
    <row r="2" spans="2:11" x14ac:dyDescent="0.2">
      <c r="B2" s="33" t="s">
        <v>125</v>
      </c>
    </row>
    <row r="4" spans="2:11" x14ac:dyDescent="0.2">
      <c r="B4" t="s">
        <v>93</v>
      </c>
      <c r="C4" s="43">
        <v>15000</v>
      </c>
      <c r="F4" s="104" t="s">
        <v>98</v>
      </c>
      <c r="G4" s="105"/>
      <c r="H4" s="105"/>
      <c r="I4" s="105"/>
      <c r="J4" s="105"/>
      <c r="K4" s="106"/>
    </row>
    <row r="5" spans="2:11" x14ac:dyDescent="0.2">
      <c r="B5" t="s">
        <v>26</v>
      </c>
      <c r="C5" s="43">
        <v>5800</v>
      </c>
      <c r="F5" s="42" t="s">
        <v>39</v>
      </c>
      <c r="G5" s="51" t="s">
        <v>126</v>
      </c>
      <c r="H5" s="51" t="s">
        <v>131</v>
      </c>
      <c r="I5" s="51" t="s">
        <v>129</v>
      </c>
      <c r="J5" s="51" t="s">
        <v>130</v>
      </c>
      <c r="K5" s="51" t="s">
        <v>127</v>
      </c>
    </row>
    <row r="6" spans="2:11" x14ac:dyDescent="0.2">
      <c r="B6" t="s">
        <v>21</v>
      </c>
      <c r="C6">
        <v>3</v>
      </c>
      <c r="F6" s="41">
        <v>0</v>
      </c>
      <c r="G6" s="43">
        <f>C4</f>
        <v>15000</v>
      </c>
      <c r="H6" s="43"/>
      <c r="I6" s="43"/>
      <c r="J6" s="43"/>
      <c r="K6" s="43">
        <f>G6</f>
        <v>15000</v>
      </c>
    </row>
    <row r="7" spans="2:11" x14ac:dyDescent="0.2">
      <c r="B7" t="s">
        <v>13</v>
      </c>
      <c r="C7" s="31">
        <v>7.8046744632241496E-2</v>
      </c>
      <c r="D7" t="s">
        <v>15</v>
      </c>
      <c r="F7" s="41">
        <v>1</v>
      </c>
      <c r="G7" s="43">
        <f>K6</f>
        <v>15000</v>
      </c>
      <c r="H7" s="43">
        <f>$C$7*G7</f>
        <v>1170.7011694836224</v>
      </c>
      <c r="I7" s="54">
        <f>C5</f>
        <v>5800</v>
      </c>
      <c r="J7" s="43">
        <f>I7-H7</f>
        <v>4629.2988305163781</v>
      </c>
      <c r="K7" s="43">
        <f>K6-J7</f>
        <v>10370.701169483622</v>
      </c>
    </row>
    <row r="8" spans="2:11" x14ac:dyDescent="0.2">
      <c r="F8" s="41">
        <v>2</v>
      </c>
      <c r="G8" s="43">
        <f>K7</f>
        <v>10370.701169483622</v>
      </c>
      <c r="H8" s="43">
        <f t="shared" ref="H8:H9" si="0">$C$7*G8</f>
        <v>809.3994658319765</v>
      </c>
      <c r="I8" s="54">
        <v>5800</v>
      </c>
      <c r="J8" s="43">
        <f>I8-H8</f>
        <v>4990.6005341680238</v>
      </c>
      <c r="K8" s="43">
        <f>K7-J8</f>
        <v>5380.1006353155981</v>
      </c>
    </row>
    <row r="9" spans="2:11" x14ac:dyDescent="0.2">
      <c r="F9" s="42">
        <v>3</v>
      </c>
      <c r="G9" s="52">
        <f>K8</f>
        <v>5380.1006353155981</v>
      </c>
      <c r="H9" s="52">
        <f t="shared" si="0"/>
        <v>419.89934038023671</v>
      </c>
      <c r="I9" s="55">
        <v>5800</v>
      </c>
      <c r="J9" s="52">
        <f>I9-H9</f>
        <v>5380.1006596197631</v>
      </c>
      <c r="K9" s="52">
        <f>K8-J9</f>
        <v>-2.4304164981003851E-5</v>
      </c>
    </row>
    <row r="10" spans="2:11" x14ac:dyDescent="0.2">
      <c r="C10" s="49"/>
      <c r="F10" s="53" t="s">
        <v>128</v>
      </c>
      <c r="G10" s="40"/>
      <c r="H10" s="40">
        <f>SUM(H7:H9)</f>
        <v>2399.9999756958359</v>
      </c>
      <c r="I10" s="40">
        <f>SUM(I7:I9)</f>
        <v>17400</v>
      </c>
      <c r="J10" s="40">
        <f>SUM(J7:J9)</f>
        <v>15000.000024304165</v>
      </c>
    </row>
    <row r="11" spans="2:11" x14ac:dyDescent="0.2">
      <c r="G11" s="40"/>
    </row>
    <row r="12" spans="2:11" x14ac:dyDescent="0.2">
      <c r="G12" s="40"/>
      <c r="H12" s="40"/>
      <c r="I12" s="40"/>
      <c r="J12" s="40"/>
    </row>
    <row r="13" spans="2:11" x14ac:dyDescent="0.2">
      <c r="B13" s="33" t="s">
        <v>132</v>
      </c>
      <c r="F13" s="104" t="s">
        <v>99</v>
      </c>
      <c r="G13" s="105"/>
      <c r="H13" s="105"/>
      <c r="I13" s="105"/>
      <c r="J13" s="105"/>
      <c r="K13" s="106"/>
    </row>
    <row r="14" spans="2:11" x14ac:dyDescent="0.2">
      <c r="F14" s="42" t="s">
        <v>39</v>
      </c>
      <c r="G14" s="51" t="s">
        <v>126</v>
      </c>
      <c r="H14" s="51" t="s">
        <v>131</v>
      </c>
      <c r="I14" s="51" t="s">
        <v>97</v>
      </c>
      <c r="J14" s="51" t="s">
        <v>130</v>
      </c>
      <c r="K14" s="51" t="s">
        <v>127</v>
      </c>
    </row>
    <row r="15" spans="2:11" x14ac:dyDescent="0.2">
      <c r="D15" s="32"/>
      <c r="F15" s="41">
        <v>0</v>
      </c>
      <c r="G15" s="43">
        <v>15000</v>
      </c>
      <c r="H15" s="43"/>
      <c r="I15" s="43"/>
      <c r="J15" s="43"/>
      <c r="K15" s="43">
        <f>G15</f>
        <v>15000</v>
      </c>
    </row>
    <row r="16" spans="2:11" x14ac:dyDescent="0.2">
      <c r="D16" s="32"/>
      <c r="F16" s="41">
        <v>1</v>
      </c>
      <c r="G16" s="43">
        <f>K15</f>
        <v>15000</v>
      </c>
      <c r="H16" s="43">
        <f>G16*$C$7</f>
        <v>1170.7011694836224</v>
      </c>
      <c r="I16" s="43">
        <f>H16+J16</f>
        <v>6170.7011694836219</v>
      </c>
      <c r="J16" s="54">
        <f>$G$15/3</f>
        <v>5000</v>
      </c>
      <c r="K16" s="43">
        <f>K15-J16</f>
        <v>10000</v>
      </c>
    </row>
    <row r="17" spans="6:11" x14ac:dyDescent="0.2">
      <c r="F17" s="41">
        <v>2</v>
      </c>
      <c r="G17" s="43">
        <f t="shared" ref="G17:G18" si="1">K16</f>
        <v>10000</v>
      </c>
      <c r="H17" s="43">
        <f t="shared" ref="H17:H18" si="2">G17*$C$7</f>
        <v>780.46744632241496</v>
      </c>
      <c r="I17" s="43">
        <f>H17+J17</f>
        <v>5780.4674463224146</v>
      </c>
      <c r="J17" s="54">
        <f>$G$15/3</f>
        <v>5000</v>
      </c>
      <c r="K17" s="43">
        <f>K16-J17</f>
        <v>5000</v>
      </c>
    </row>
    <row r="18" spans="6:11" x14ac:dyDescent="0.2">
      <c r="F18" s="42">
        <v>3</v>
      </c>
      <c r="G18" s="52">
        <f t="shared" si="1"/>
        <v>5000</v>
      </c>
      <c r="H18" s="52">
        <f t="shared" si="2"/>
        <v>390.23372316120748</v>
      </c>
      <c r="I18" s="52">
        <f>H18+J18</f>
        <v>5390.2337231612073</v>
      </c>
      <c r="J18" s="55">
        <f>$G$15/3</f>
        <v>5000</v>
      </c>
      <c r="K18" s="52">
        <f>K17-J18</f>
        <v>0</v>
      </c>
    </row>
    <row r="19" spans="6:11" x14ac:dyDescent="0.2">
      <c r="F19" s="53" t="s">
        <v>128</v>
      </c>
      <c r="G19" s="43"/>
      <c r="H19" s="43">
        <f>SUM(H16:H18)</f>
        <v>2341.4023389672448</v>
      </c>
      <c r="I19" s="43">
        <f>SUM(I16:I18)</f>
        <v>17341.402338967244</v>
      </c>
      <c r="J19" s="43">
        <f>SUM(J16:J18)</f>
        <v>15000</v>
      </c>
      <c r="K19" s="43"/>
    </row>
    <row r="20" spans="6:11" x14ac:dyDescent="0.2">
      <c r="H20" s="40"/>
      <c r="I20" s="40"/>
      <c r="J20" s="40"/>
    </row>
  </sheetData>
  <mergeCells count="2">
    <mergeCell ref="F4:K4"/>
    <mergeCell ref="F13:K13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32"/>
  <sheetViews>
    <sheetView showGridLines="0" zoomScale="110" zoomScaleNormal="110" workbookViewId="0"/>
  </sheetViews>
  <sheetFormatPr defaultRowHeight="12.75" x14ac:dyDescent="0.2"/>
  <cols>
    <col min="1" max="1" width="7.42578125" customWidth="1"/>
    <col min="2" max="2" width="11.85546875" bestFit="1" customWidth="1"/>
    <col min="3" max="3" width="10" bestFit="1" customWidth="1"/>
    <col min="4" max="4" width="9.85546875" customWidth="1"/>
    <col min="5" max="5" width="13.5703125" bestFit="1" customWidth="1"/>
    <col min="6" max="6" width="4" customWidth="1"/>
    <col min="7" max="7" width="2.85546875" customWidth="1"/>
    <col min="9" max="9" width="11.85546875" bestFit="1" customWidth="1"/>
    <col min="10" max="10" width="12.140625" bestFit="1" customWidth="1"/>
    <col min="11" max="11" width="9.42578125" bestFit="1" customWidth="1"/>
    <col min="12" max="12" width="13.5703125" bestFit="1" customWidth="1"/>
  </cols>
  <sheetData>
    <row r="2" spans="1:12" x14ac:dyDescent="0.2">
      <c r="A2" s="3" t="s">
        <v>4</v>
      </c>
      <c r="H2" s="3" t="s">
        <v>12</v>
      </c>
    </row>
    <row r="4" spans="1:12" x14ac:dyDescent="0.2">
      <c r="A4" s="4" t="s">
        <v>2</v>
      </c>
      <c r="B4" s="5">
        <v>1000000</v>
      </c>
      <c r="D4" s="6"/>
      <c r="H4" s="4" t="s">
        <v>2</v>
      </c>
      <c r="I4" s="5">
        <f>Amortização!B4</f>
        <v>1000000</v>
      </c>
      <c r="K4" s="6"/>
    </row>
    <row r="5" spans="1:12" x14ac:dyDescent="0.2">
      <c r="A5" s="7" t="s">
        <v>1</v>
      </c>
      <c r="B5" s="8">
        <v>120</v>
      </c>
      <c r="D5" s="6"/>
      <c r="H5" s="7" t="s">
        <v>1</v>
      </c>
      <c r="I5" s="8">
        <v>120</v>
      </c>
      <c r="K5" s="6"/>
    </row>
    <row r="6" spans="1:12" x14ac:dyDescent="0.2">
      <c r="A6" s="9" t="s">
        <v>0</v>
      </c>
      <c r="B6" s="25">
        <v>5.0000000000000001E-3</v>
      </c>
      <c r="D6" s="24" t="s">
        <v>16</v>
      </c>
      <c r="E6" s="20">
        <f>(1+B6)^12-1</f>
        <v>6.1677811864497611E-2</v>
      </c>
      <c r="F6" s="24"/>
      <c r="H6" s="9" t="s">
        <v>0</v>
      </c>
      <c r="I6" s="25">
        <f>Amortização!B6</f>
        <v>5.0000000000000001E-3</v>
      </c>
    </row>
    <row r="8" spans="1:12" ht="13.5" thickBot="1" x14ac:dyDescent="0.25"/>
    <row r="9" spans="1:12" x14ac:dyDescent="0.2">
      <c r="A9" s="10" t="s">
        <v>5</v>
      </c>
      <c r="B9" s="11" t="s">
        <v>6</v>
      </c>
      <c r="C9" s="12" t="s">
        <v>7</v>
      </c>
      <c r="D9" s="11" t="s">
        <v>8</v>
      </c>
      <c r="E9" s="13" t="s">
        <v>9</v>
      </c>
      <c r="H9" s="10" t="s">
        <v>5</v>
      </c>
      <c r="I9" s="11" t="s">
        <v>6</v>
      </c>
      <c r="J9" s="12" t="s">
        <v>7</v>
      </c>
      <c r="K9" s="11" t="s">
        <v>8</v>
      </c>
      <c r="L9" s="13" t="s">
        <v>9</v>
      </c>
    </row>
    <row r="10" spans="1:12" x14ac:dyDescent="0.2">
      <c r="A10" s="14">
        <v>0</v>
      </c>
      <c r="B10" s="15"/>
      <c r="C10" s="2"/>
      <c r="D10" s="16"/>
      <c r="E10" s="17">
        <f>B4</f>
        <v>1000000</v>
      </c>
      <c r="H10" s="14">
        <v>0</v>
      </c>
      <c r="I10" s="21"/>
      <c r="J10" s="2"/>
      <c r="K10" s="15"/>
      <c r="L10" s="17">
        <f>I4</f>
        <v>1000000</v>
      </c>
    </row>
    <row r="11" spans="1:12" x14ac:dyDescent="0.2">
      <c r="A11" s="14">
        <f t="shared" ref="A11:A74" si="0">A10+1</f>
        <v>1</v>
      </c>
      <c r="B11" s="16">
        <f>D11+C11</f>
        <v>13333.333333333334</v>
      </c>
      <c r="C11" s="18">
        <f>E10*$B$6</f>
        <v>5000</v>
      </c>
      <c r="D11" s="16">
        <f>$B$4/$B$5</f>
        <v>8333.3333333333339</v>
      </c>
      <c r="E11" s="17">
        <f t="shared" ref="E11:E74" si="1">E10-D11</f>
        <v>991666.66666666663</v>
      </c>
      <c r="H11" s="14">
        <f t="shared" ref="H11:H42" si="2">H10+1</f>
        <v>1</v>
      </c>
      <c r="I11" s="21">
        <f>PMT($I$6,$I$5,-$I$4)</f>
        <v>11102.050194164944</v>
      </c>
      <c r="J11" s="22">
        <f>L10*$I$6</f>
        <v>5000</v>
      </c>
      <c r="K11" s="21">
        <f>I11-J11</f>
        <v>6102.0501941649436</v>
      </c>
      <c r="L11" s="17">
        <f t="shared" ref="L11:L42" si="3">L10-K11</f>
        <v>993897.94980583503</v>
      </c>
    </row>
    <row r="12" spans="1:12" x14ac:dyDescent="0.2">
      <c r="A12" s="14">
        <f t="shared" si="0"/>
        <v>2</v>
      </c>
      <c r="B12" s="16">
        <f t="shared" ref="B12:B130" si="4">D12+C12</f>
        <v>13291.666666666668</v>
      </c>
      <c r="C12" s="18">
        <f t="shared" ref="C12:C74" si="5">E11*$B$6</f>
        <v>4958.333333333333</v>
      </c>
      <c r="D12" s="16">
        <f t="shared" ref="D12:D130" si="6">$B$4/$B$5</f>
        <v>8333.3333333333339</v>
      </c>
      <c r="E12" s="17">
        <f t="shared" si="1"/>
        <v>983333.33333333326</v>
      </c>
      <c r="H12" s="14">
        <f t="shared" si="2"/>
        <v>2</v>
      </c>
      <c r="I12" s="21">
        <f>I11</f>
        <v>11102.050194164944</v>
      </c>
      <c r="J12" s="22">
        <f t="shared" ref="J12:J42" si="7">L11*$I$6</f>
        <v>4969.4897490291751</v>
      </c>
      <c r="K12" s="21">
        <f t="shared" ref="K12:K42" si="8">I12-J12</f>
        <v>6132.5604451357685</v>
      </c>
      <c r="L12" s="17">
        <f t="shared" si="3"/>
        <v>987765.38936069922</v>
      </c>
    </row>
    <row r="13" spans="1:12" x14ac:dyDescent="0.2">
      <c r="A13" s="14">
        <f t="shared" si="0"/>
        <v>3</v>
      </c>
      <c r="B13" s="16">
        <f t="shared" si="4"/>
        <v>13250</v>
      </c>
      <c r="C13" s="18">
        <f t="shared" si="5"/>
        <v>4916.6666666666661</v>
      </c>
      <c r="D13" s="16">
        <f t="shared" si="6"/>
        <v>8333.3333333333339</v>
      </c>
      <c r="E13" s="17">
        <f t="shared" si="1"/>
        <v>974999.99999999988</v>
      </c>
      <c r="H13" s="14">
        <f t="shared" si="2"/>
        <v>3</v>
      </c>
      <c r="I13" s="21">
        <f t="shared" ref="I13:I76" si="9">I12</f>
        <v>11102.050194164944</v>
      </c>
      <c r="J13" s="22">
        <f t="shared" si="7"/>
        <v>4938.826946803496</v>
      </c>
      <c r="K13" s="21">
        <f t="shared" si="8"/>
        <v>6163.2232473614476</v>
      </c>
      <c r="L13" s="17">
        <f t="shared" si="3"/>
        <v>981602.16611333773</v>
      </c>
    </row>
    <row r="14" spans="1:12" x14ac:dyDescent="0.2">
      <c r="A14" s="14">
        <f t="shared" si="0"/>
        <v>4</v>
      </c>
      <c r="B14" s="16">
        <f t="shared" si="4"/>
        <v>13208.333333333332</v>
      </c>
      <c r="C14" s="18">
        <f t="shared" si="5"/>
        <v>4874.9999999999991</v>
      </c>
      <c r="D14" s="16">
        <f t="shared" si="6"/>
        <v>8333.3333333333339</v>
      </c>
      <c r="E14" s="17">
        <f t="shared" si="1"/>
        <v>966666.66666666651</v>
      </c>
      <c r="H14" s="14">
        <f t="shared" si="2"/>
        <v>4</v>
      </c>
      <c r="I14" s="21">
        <f t="shared" si="9"/>
        <v>11102.050194164944</v>
      </c>
      <c r="J14" s="22">
        <f t="shared" si="7"/>
        <v>4908.010830566689</v>
      </c>
      <c r="K14" s="21">
        <f t="shared" si="8"/>
        <v>6194.0393635982546</v>
      </c>
      <c r="L14" s="17">
        <f t="shared" si="3"/>
        <v>975408.12674973952</v>
      </c>
    </row>
    <row r="15" spans="1:12" x14ac:dyDescent="0.2">
      <c r="A15" s="14">
        <f t="shared" si="0"/>
        <v>5</v>
      </c>
      <c r="B15" s="16">
        <f t="shared" si="4"/>
        <v>13166.666666666668</v>
      </c>
      <c r="C15" s="18">
        <f t="shared" si="5"/>
        <v>4833.333333333333</v>
      </c>
      <c r="D15" s="16">
        <f t="shared" si="6"/>
        <v>8333.3333333333339</v>
      </c>
      <c r="E15" s="17">
        <f t="shared" si="1"/>
        <v>958333.33333333314</v>
      </c>
      <c r="H15" s="14">
        <f t="shared" si="2"/>
        <v>5</v>
      </c>
      <c r="I15" s="21">
        <f t="shared" si="9"/>
        <v>11102.050194164944</v>
      </c>
      <c r="J15" s="22">
        <f t="shared" si="7"/>
        <v>4877.0406337486975</v>
      </c>
      <c r="K15" s="21">
        <f t="shared" si="8"/>
        <v>6225.0095604162461</v>
      </c>
      <c r="L15" s="17">
        <f t="shared" si="3"/>
        <v>969183.1171893233</v>
      </c>
    </row>
    <row r="16" spans="1:12" x14ac:dyDescent="0.2">
      <c r="A16" s="14">
        <f t="shared" si="0"/>
        <v>6</v>
      </c>
      <c r="B16" s="16">
        <f t="shared" si="4"/>
        <v>13125</v>
      </c>
      <c r="C16" s="18">
        <f t="shared" si="5"/>
        <v>4791.6666666666661</v>
      </c>
      <c r="D16" s="16">
        <f t="shared" si="6"/>
        <v>8333.3333333333339</v>
      </c>
      <c r="E16" s="17">
        <f t="shared" si="1"/>
        <v>949999.99999999977</v>
      </c>
      <c r="H16" s="14">
        <f t="shared" si="2"/>
        <v>6</v>
      </c>
      <c r="I16" s="21">
        <f t="shared" si="9"/>
        <v>11102.050194164944</v>
      </c>
      <c r="J16" s="22">
        <f t="shared" si="7"/>
        <v>4845.9155859466164</v>
      </c>
      <c r="K16" s="21">
        <f t="shared" si="8"/>
        <v>6256.1346082183272</v>
      </c>
      <c r="L16" s="17">
        <f t="shared" si="3"/>
        <v>962926.98258110497</v>
      </c>
    </row>
    <row r="17" spans="1:12" x14ac:dyDescent="0.2">
      <c r="A17" s="14">
        <f t="shared" si="0"/>
        <v>7</v>
      </c>
      <c r="B17" s="16">
        <f t="shared" si="4"/>
        <v>13083.333333333332</v>
      </c>
      <c r="C17" s="18">
        <f t="shared" si="5"/>
        <v>4749.9999999999991</v>
      </c>
      <c r="D17" s="16">
        <f t="shared" si="6"/>
        <v>8333.3333333333339</v>
      </c>
      <c r="E17" s="17">
        <f t="shared" si="1"/>
        <v>941666.6666666664</v>
      </c>
      <c r="H17" s="14">
        <f t="shared" si="2"/>
        <v>7</v>
      </c>
      <c r="I17" s="21">
        <f t="shared" si="9"/>
        <v>11102.050194164944</v>
      </c>
      <c r="J17" s="22">
        <f t="shared" si="7"/>
        <v>4814.6349129055252</v>
      </c>
      <c r="K17" s="21">
        <f t="shared" si="8"/>
        <v>6287.4152812594184</v>
      </c>
      <c r="L17" s="17">
        <f t="shared" si="3"/>
        <v>956639.56729984551</v>
      </c>
    </row>
    <row r="18" spans="1:12" x14ac:dyDescent="0.2">
      <c r="A18" s="14">
        <f t="shared" si="0"/>
        <v>8</v>
      </c>
      <c r="B18" s="16">
        <f t="shared" si="4"/>
        <v>13041.666666666666</v>
      </c>
      <c r="C18" s="18">
        <f t="shared" si="5"/>
        <v>4708.3333333333321</v>
      </c>
      <c r="D18" s="16">
        <f t="shared" si="6"/>
        <v>8333.3333333333339</v>
      </c>
      <c r="E18" s="17">
        <f t="shared" si="1"/>
        <v>933333.33333333302</v>
      </c>
      <c r="H18" s="14">
        <f t="shared" si="2"/>
        <v>8</v>
      </c>
      <c r="I18" s="21">
        <f t="shared" si="9"/>
        <v>11102.050194164944</v>
      </c>
      <c r="J18" s="22">
        <f t="shared" si="7"/>
        <v>4783.1978364992274</v>
      </c>
      <c r="K18" s="21">
        <f t="shared" si="8"/>
        <v>6318.8523576657162</v>
      </c>
      <c r="L18" s="17">
        <f t="shared" si="3"/>
        <v>950320.71494217985</v>
      </c>
    </row>
    <row r="19" spans="1:12" x14ac:dyDescent="0.2">
      <c r="A19" s="14">
        <f t="shared" si="0"/>
        <v>9</v>
      </c>
      <c r="B19" s="16">
        <f t="shared" si="4"/>
        <v>13000</v>
      </c>
      <c r="C19" s="18">
        <f t="shared" si="5"/>
        <v>4666.6666666666652</v>
      </c>
      <c r="D19" s="16">
        <f t="shared" si="6"/>
        <v>8333.3333333333339</v>
      </c>
      <c r="E19" s="17">
        <f t="shared" si="1"/>
        <v>924999.99999999965</v>
      </c>
      <c r="H19" s="14">
        <f t="shared" si="2"/>
        <v>9</v>
      </c>
      <c r="I19" s="21">
        <f t="shared" si="9"/>
        <v>11102.050194164944</v>
      </c>
      <c r="J19" s="22">
        <f t="shared" si="7"/>
        <v>4751.603574710899</v>
      </c>
      <c r="K19" s="21">
        <f t="shared" si="8"/>
        <v>6350.4466194540446</v>
      </c>
      <c r="L19" s="17">
        <f t="shared" si="3"/>
        <v>943970.26832272578</v>
      </c>
    </row>
    <row r="20" spans="1:12" x14ac:dyDescent="0.2">
      <c r="A20" s="14">
        <f t="shared" si="0"/>
        <v>10</v>
      </c>
      <c r="B20" s="16">
        <f t="shared" si="4"/>
        <v>12958.333333333332</v>
      </c>
      <c r="C20" s="18">
        <f t="shared" si="5"/>
        <v>4624.9999999999982</v>
      </c>
      <c r="D20" s="16">
        <f t="shared" si="6"/>
        <v>8333.3333333333339</v>
      </c>
      <c r="E20" s="17">
        <f t="shared" si="1"/>
        <v>916666.66666666628</v>
      </c>
      <c r="H20" s="14">
        <f t="shared" si="2"/>
        <v>10</v>
      </c>
      <c r="I20" s="21">
        <f t="shared" si="9"/>
        <v>11102.050194164944</v>
      </c>
      <c r="J20" s="22">
        <f t="shared" si="7"/>
        <v>4719.8513416136293</v>
      </c>
      <c r="K20" s="21">
        <f t="shared" si="8"/>
        <v>6382.1988525513143</v>
      </c>
      <c r="L20" s="17">
        <f t="shared" si="3"/>
        <v>937588.06947017449</v>
      </c>
    </row>
    <row r="21" spans="1:12" x14ac:dyDescent="0.2">
      <c r="A21" s="14">
        <f t="shared" si="0"/>
        <v>11</v>
      </c>
      <c r="B21" s="16">
        <f t="shared" si="4"/>
        <v>12916.666666666664</v>
      </c>
      <c r="C21" s="18">
        <f t="shared" si="5"/>
        <v>4583.3333333333312</v>
      </c>
      <c r="D21" s="16">
        <f t="shared" si="6"/>
        <v>8333.3333333333339</v>
      </c>
      <c r="E21" s="17">
        <f t="shared" si="1"/>
        <v>908333.33333333291</v>
      </c>
      <c r="H21" s="14">
        <f t="shared" si="2"/>
        <v>11</v>
      </c>
      <c r="I21" s="21">
        <f t="shared" si="9"/>
        <v>11102.050194164944</v>
      </c>
      <c r="J21" s="22">
        <f t="shared" si="7"/>
        <v>4687.9403473508728</v>
      </c>
      <c r="K21" s="21">
        <f t="shared" si="8"/>
        <v>6414.1098468140708</v>
      </c>
      <c r="L21" s="17">
        <f t="shared" si="3"/>
        <v>931173.95962336042</v>
      </c>
    </row>
    <row r="22" spans="1:12" x14ac:dyDescent="0.2">
      <c r="A22" s="14">
        <f t="shared" si="0"/>
        <v>12</v>
      </c>
      <c r="B22" s="16">
        <f t="shared" si="4"/>
        <v>12874.999999999998</v>
      </c>
      <c r="C22" s="18">
        <f t="shared" si="5"/>
        <v>4541.6666666666642</v>
      </c>
      <c r="D22" s="16">
        <f t="shared" si="6"/>
        <v>8333.3333333333339</v>
      </c>
      <c r="E22" s="17">
        <f t="shared" si="1"/>
        <v>899999.99999999953</v>
      </c>
      <c r="H22" s="14">
        <f t="shared" si="2"/>
        <v>12</v>
      </c>
      <c r="I22" s="21">
        <f t="shared" si="9"/>
        <v>11102.050194164944</v>
      </c>
      <c r="J22" s="22">
        <f t="shared" si="7"/>
        <v>4655.8697981168025</v>
      </c>
      <c r="K22" s="21">
        <f t="shared" si="8"/>
        <v>6446.1803960481411</v>
      </c>
      <c r="L22" s="17">
        <f t="shared" si="3"/>
        <v>924727.77922731231</v>
      </c>
    </row>
    <row r="23" spans="1:12" x14ac:dyDescent="0.2">
      <c r="A23" s="14">
        <f t="shared" si="0"/>
        <v>13</v>
      </c>
      <c r="B23" s="16">
        <f t="shared" si="4"/>
        <v>12833.333333333332</v>
      </c>
      <c r="C23" s="18">
        <f t="shared" si="5"/>
        <v>4499.9999999999982</v>
      </c>
      <c r="D23" s="16">
        <f t="shared" si="6"/>
        <v>8333.3333333333339</v>
      </c>
      <c r="E23" s="17">
        <f t="shared" si="1"/>
        <v>891666.66666666616</v>
      </c>
      <c r="H23" s="14">
        <f t="shared" si="2"/>
        <v>13</v>
      </c>
      <c r="I23" s="21">
        <f t="shared" si="9"/>
        <v>11102.050194164944</v>
      </c>
      <c r="J23" s="22">
        <f t="shared" si="7"/>
        <v>4623.6388961365619</v>
      </c>
      <c r="K23" s="21">
        <f t="shared" si="8"/>
        <v>6478.4112980283817</v>
      </c>
      <c r="L23" s="17">
        <f t="shared" si="3"/>
        <v>918249.36792928388</v>
      </c>
    </row>
    <row r="24" spans="1:12" x14ac:dyDescent="0.2">
      <c r="A24" s="14">
        <f t="shared" si="0"/>
        <v>14</v>
      </c>
      <c r="B24" s="16">
        <f t="shared" si="4"/>
        <v>12791.666666666664</v>
      </c>
      <c r="C24" s="18">
        <f t="shared" si="5"/>
        <v>4458.3333333333312</v>
      </c>
      <c r="D24" s="16">
        <f t="shared" si="6"/>
        <v>8333.3333333333339</v>
      </c>
      <c r="E24" s="17">
        <f t="shared" si="1"/>
        <v>883333.33333333279</v>
      </c>
      <c r="H24" s="14">
        <f t="shared" si="2"/>
        <v>14</v>
      </c>
      <c r="I24" s="21">
        <f t="shared" si="9"/>
        <v>11102.050194164944</v>
      </c>
      <c r="J24" s="22">
        <f t="shared" si="7"/>
        <v>4591.2468396464192</v>
      </c>
      <c r="K24" s="21">
        <f t="shared" si="8"/>
        <v>6510.8033545185244</v>
      </c>
      <c r="L24" s="17">
        <f t="shared" si="3"/>
        <v>911738.56457476539</v>
      </c>
    </row>
    <row r="25" spans="1:12" x14ac:dyDescent="0.2">
      <c r="A25" s="14">
        <f t="shared" si="0"/>
        <v>15</v>
      </c>
      <c r="B25" s="16">
        <f t="shared" si="4"/>
        <v>12749.999999999998</v>
      </c>
      <c r="C25" s="18">
        <f t="shared" si="5"/>
        <v>4416.6666666666642</v>
      </c>
      <c r="D25" s="16">
        <f t="shared" si="6"/>
        <v>8333.3333333333339</v>
      </c>
      <c r="E25" s="17">
        <f t="shared" si="1"/>
        <v>874999.99999999942</v>
      </c>
      <c r="H25" s="14">
        <f t="shared" si="2"/>
        <v>15</v>
      </c>
      <c r="I25" s="21">
        <f t="shared" si="9"/>
        <v>11102.050194164944</v>
      </c>
      <c r="J25" s="22">
        <f t="shared" si="7"/>
        <v>4558.692822873827</v>
      </c>
      <c r="K25" s="21">
        <f t="shared" si="8"/>
        <v>6543.3573712911166</v>
      </c>
      <c r="L25" s="17">
        <f t="shared" si="3"/>
        <v>905195.20720347425</v>
      </c>
    </row>
    <row r="26" spans="1:12" x14ac:dyDescent="0.2">
      <c r="A26" s="14">
        <f t="shared" si="0"/>
        <v>16</v>
      </c>
      <c r="B26" s="16">
        <f t="shared" si="4"/>
        <v>12708.333333333332</v>
      </c>
      <c r="C26" s="18">
        <f t="shared" si="5"/>
        <v>4374.9999999999973</v>
      </c>
      <c r="D26" s="16">
        <f t="shared" si="6"/>
        <v>8333.3333333333339</v>
      </c>
      <c r="E26" s="17">
        <f t="shared" si="1"/>
        <v>866666.66666666605</v>
      </c>
      <c r="H26" s="14">
        <f t="shared" si="2"/>
        <v>16</v>
      </c>
      <c r="I26" s="21">
        <f t="shared" si="9"/>
        <v>11102.050194164944</v>
      </c>
      <c r="J26" s="22">
        <f t="shared" si="7"/>
        <v>4525.9760360173714</v>
      </c>
      <c r="K26" s="21">
        <f t="shared" si="8"/>
        <v>6576.0741581475722</v>
      </c>
      <c r="L26" s="17">
        <f t="shared" si="3"/>
        <v>898619.13304532669</v>
      </c>
    </row>
    <row r="27" spans="1:12" x14ac:dyDescent="0.2">
      <c r="A27" s="14">
        <f t="shared" si="0"/>
        <v>17</v>
      </c>
      <c r="B27" s="16">
        <f t="shared" si="4"/>
        <v>12666.666666666664</v>
      </c>
      <c r="C27" s="18">
        <f t="shared" si="5"/>
        <v>4333.3333333333303</v>
      </c>
      <c r="D27" s="16">
        <f t="shared" si="6"/>
        <v>8333.3333333333339</v>
      </c>
      <c r="E27" s="17">
        <f t="shared" si="1"/>
        <v>858333.33333333267</v>
      </c>
      <c r="H27" s="14">
        <f t="shared" si="2"/>
        <v>17</v>
      </c>
      <c r="I27" s="21">
        <f t="shared" si="9"/>
        <v>11102.050194164944</v>
      </c>
      <c r="J27" s="22">
        <f t="shared" si="7"/>
        <v>4493.0956652266332</v>
      </c>
      <c r="K27" s="21">
        <f t="shared" si="8"/>
        <v>6608.9545289383104</v>
      </c>
      <c r="L27" s="17">
        <f t="shared" si="3"/>
        <v>892010.17851638841</v>
      </c>
    </row>
    <row r="28" spans="1:12" x14ac:dyDescent="0.2">
      <c r="A28" s="14">
        <f t="shared" si="0"/>
        <v>18</v>
      </c>
      <c r="B28" s="16">
        <f t="shared" si="4"/>
        <v>12624.999999999996</v>
      </c>
      <c r="C28" s="18">
        <f t="shared" si="5"/>
        <v>4291.6666666666633</v>
      </c>
      <c r="D28" s="16">
        <f t="shared" si="6"/>
        <v>8333.3333333333339</v>
      </c>
      <c r="E28" s="17">
        <f t="shared" si="1"/>
        <v>849999.9999999993</v>
      </c>
      <c r="H28" s="14">
        <f t="shared" si="2"/>
        <v>18</v>
      </c>
      <c r="I28" s="21">
        <f t="shared" si="9"/>
        <v>11102.050194164944</v>
      </c>
      <c r="J28" s="22">
        <f t="shared" si="7"/>
        <v>4460.0508925819422</v>
      </c>
      <c r="K28" s="21">
        <f t="shared" si="8"/>
        <v>6641.9993015830014</v>
      </c>
      <c r="L28" s="17">
        <f t="shared" si="3"/>
        <v>885368.17921480536</v>
      </c>
    </row>
    <row r="29" spans="1:12" x14ac:dyDescent="0.2">
      <c r="A29" s="14">
        <f t="shared" si="0"/>
        <v>19</v>
      </c>
      <c r="B29" s="16">
        <f t="shared" si="4"/>
        <v>12583.33333333333</v>
      </c>
      <c r="C29" s="18">
        <f t="shared" si="5"/>
        <v>4249.9999999999964</v>
      </c>
      <c r="D29" s="16">
        <f t="shared" si="6"/>
        <v>8333.3333333333339</v>
      </c>
      <c r="E29" s="17">
        <f t="shared" si="1"/>
        <v>841666.66666666593</v>
      </c>
      <c r="H29" s="14">
        <f t="shared" si="2"/>
        <v>19</v>
      </c>
      <c r="I29" s="21">
        <f t="shared" si="9"/>
        <v>11102.050194164944</v>
      </c>
      <c r="J29" s="22">
        <f t="shared" si="7"/>
        <v>4426.8408960740271</v>
      </c>
      <c r="K29" s="21">
        <f t="shared" si="8"/>
        <v>6675.2092980909165</v>
      </c>
      <c r="L29" s="17">
        <f t="shared" si="3"/>
        <v>878692.96991671447</v>
      </c>
    </row>
    <row r="30" spans="1:12" x14ac:dyDescent="0.2">
      <c r="A30" s="14">
        <f t="shared" si="0"/>
        <v>20</v>
      </c>
      <c r="B30" s="16">
        <f t="shared" si="4"/>
        <v>12541.666666666664</v>
      </c>
      <c r="C30" s="18">
        <f t="shared" si="5"/>
        <v>4208.3333333333294</v>
      </c>
      <c r="D30" s="16">
        <f t="shared" si="6"/>
        <v>8333.3333333333339</v>
      </c>
      <c r="E30" s="17">
        <f t="shared" si="1"/>
        <v>833333.33333333256</v>
      </c>
      <c r="H30" s="14">
        <f t="shared" si="2"/>
        <v>20</v>
      </c>
      <c r="I30" s="21">
        <f t="shared" si="9"/>
        <v>11102.050194164944</v>
      </c>
      <c r="J30" s="22">
        <f t="shared" si="7"/>
        <v>4393.4648495835727</v>
      </c>
      <c r="K30" s="21">
        <f t="shared" si="8"/>
        <v>6708.5853445813709</v>
      </c>
      <c r="L30" s="17">
        <f t="shared" si="3"/>
        <v>871984.38457213307</v>
      </c>
    </row>
    <row r="31" spans="1:12" x14ac:dyDescent="0.2">
      <c r="A31" s="14">
        <f t="shared" si="0"/>
        <v>21</v>
      </c>
      <c r="B31" s="16">
        <f t="shared" si="4"/>
        <v>12499.999999999996</v>
      </c>
      <c r="C31" s="18">
        <f t="shared" si="5"/>
        <v>4166.6666666666624</v>
      </c>
      <c r="D31" s="16">
        <f t="shared" si="6"/>
        <v>8333.3333333333339</v>
      </c>
      <c r="E31" s="17">
        <f t="shared" si="1"/>
        <v>824999.99999999919</v>
      </c>
      <c r="H31" s="14">
        <f t="shared" si="2"/>
        <v>21</v>
      </c>
      <c r="I31" s="21">
        <f t="shared" si="9"/>
        <v>11102.050194164944</v>
      </c>
      <c r="J31" s="22">
        <f t="shared" si="7"/>
        <v>4359.9219228606653</v>
      </c>
      <c r="K31" s="21">
        <f t="shared" si="8"/>
        <v>6742.1282713042783</v>
      </c>
      <c r="L31" s="17">
        <f t="shared" si="3"/>
        <v>865242.25630082877</v>
      </c>
    </row>
    <row r="32" spans="1:12" x14ac:dyDescent="0.2">
      <c r="A32" s="14">
        <f t="shared" si="0"/>
        <v>22</v>
      </c>
      <c r="B32" s="16">
        <f t="shared" si="4"/>
        <v>12458.33333333333</v>
      </c>
      <c r="C32" s="18">
        <f t="shared" si="5"/>
        <v>4124.9999999999964</v>
      </c>
      <c r="D32" s="16">
        <f t="shared" si="6"/>
        <v>8333.3333333333339</v>
      </c>
      <c r="E32" s="17">
        <f t="shared" si="1"/>
        <v>816666.66666666581</v>
      </c>
      <c r="H32" s="14">
        <f t="shared" si="2"/>
        <v>22</v>
      </c>
      <c r="I32" s="21">
        <f t="shared" si="9"/>
        <v>11102.050194164944</v>
      </c>
      <c r="J32" s="22">
        <f t="shared" si="7"/>
        <v>4326.2112815041437</v>
      </c>
      <c r="K32" s="21">
        <f t="shared" si="8"/>
        <v>6775.8389126607999</v>
      </c>
      <c r="L32" s="17">
        <f t="shared" si="3"/>
        <v>858466.41738816793</v>
      </c>
    </row>
    <row r="33" spans="1:12" x14ac:dyDescent="0.2">
      <c r="A33" s="14">
        <f t="shared" si="0"/>
        <v>23</v>
      </c>
      <c r="B33" s="16">
        <f t="shared" si="4"/>
        <v>12416.666666666662</v>
      </c>
      <c r="C33" s="18">
        <f t="shared" si="5"/>
        <v>4083.3333333333289</v>
      </c>
      <c r="D33" s="16">
        <f t="shared" si="6"/>
        <v>8333.3333333333339</v>
      </c>
      <c r="E33" s="17">
        <f t="shared" si="1"/>
        <v>808333.33333333244</v>
      </c>
      <c r="H33" s="14">
        <f t="shared" si="2"/>
        <v>23</v>
      </c>
      <c r="I33" s="21">
        <f t="shared" si="9"/>
        <v>11102.050194164944</v>
      </c>
      <c r="J33" s="22">
        <f t="shared" si="7"/>
        <v>4292.3320869408399</v>
      </c>
      <c r="K33" s="21">
        <f t="shared" si="8"/>
        <v>6809.7181072241037</v>
      </c>
      <c r="L33" s="17">
        <f t="shared" si="3"/>
        <v>851656.69928094384</v>
      </c>
    </row>
    <row r="34" spans="1:12" x14ac:dyDescent="0.2">
      <c r="A34" s="14">
        <f t="shared" si="0"/>
        <v>24</v>
      </c>
      <c r="B34" s="16">
        <f t="shared" si="4"/>
        <v>12374.999999999996</v>
      </c>
      <c r="C34" s="18">
        <f t="shared" si="5"/>
        <v>4041.6666666666624</v>
      </c>
      <c r="D34" s="16">
        <f t="shared" si="6"/>
        <v>8333.3333333333339</v>
      </c>
      <c r="E34" s="17">
        <f t="shared" si="1"/>
        <v>799999.99999999907</v>
      </c>
      <c r="H34" s="14">
        <f t="shared" si="2"/>
        <v>24</v>
      </c>
      <c r="I34" s="21">
        <f t="shared" si="9"/>
        <v>11102.050194164944</v>
      </c>
      <c r="J34" s="22">
        <f t="shared" si="7"/>
        <v>4258.2834964047197</v>
      </c>
      <c r="K34" s="21">
        <f t="shared" si="8"/>
        <v>6843.7666977602239</v>
      </c>
      <c r="L34" s="17">
        <f t="shared" si="3"/>
        <v>844812.93258318363</v>
      </c>
    </row>
    <row r="35" spans="1:12" x14ac:dyDescent="0.2">
      <c r="A35" s="14">
        <f t="shared" si="0"/>
        <v>25</v>
      </c>
      <c r="B35" s="16">
        <f t="shared" si="4"/>
        <v>12333.333333333328</v>
      </c>
      <c r="C35" s="18">
        <f t="shared" si="5"/>
        <v>3999.9999999999955</v>
      </c>
      <c r="D35" s="16">
        <f t="shared" si="6"/>
        <v>8333.3333333333339</v>
      </c>
      <c r="E35" s="17">
        <f t="shared" si="1"/>
        <v>791666.6666666657</v>
      </c>
      <c r="H35" s="14">
        <f t="shared" si="2"/>
        <v>25</v>
      </c>
      <c r="I35" s="21">
        <f t="shared" si="9"/>
        <v>11102.050194164944</v>
      </c>
      <c r="J35" s="22">
        <f t="shared" si="7"/>
        <v>4224.0646629159182</v>
      </c>
      <c r="K35" s="21">
        <f t="shared" si="8"/>
        <v>6877.9855312490254</v>
      </c>
      <c r="L35" s="17">
        <f t="shared" si="3"/>
        <v>837934.94705193467</v>
      </c>
    </row>
    <row r="36" spans="1:12" x14ac:dyDescent="0.2">
      <c r="A36" s="14">
        <f t="shared" si="0"/>
        <v>26</v>
      </c>
      <c r="B36" s="16">
        <f t="shared" si="4"/>
        <v>12291.666666666662</v>
      </c>
      <c r="C36" s="18">
        <f t="shared" si="5"/>
        <v>3958.3333333333285</v>
      </c>
      <c r="D36" s="16">
        <f t="shared" si="6"/>
        <v>8333.3333333333339</v>
      </c>
      <c r="E36" s="17">
        <f t="shared" si="1"/>
        <v>783333.33333333232</v>
      </c>
      <c r="H36" s="14">
        <f t="shared" si="2"/>
        <v>26</v>
      </c>
      <c r="I36" s="21">
        <f t="shared" si="9"/>
        <v>11102.050194164944</v>
      </c>
      <c r="J36" s="22">
        <f t="shared" si="7"/>
        <v>4189.6747352596731</v>
      </c>
      <c r="K36" s="21">
        <f t="shared" si="8"/>
        <v>6912.3754589052705</v>
      </c>
      <c r="L36" s="17">
        <f t="shared" si="3"/>
        <v>831022.57159302942</v>
      </c>
    </row>
    <row r="37" spans="1:12" x14ac:dyDescent="0.2">
      <c r="A37" s="14">
        <f t="shared" si="0"/>
        <v>27</v>
      </c>
      <c r="B37" s="16">
        <f t="shared" si="4"/>
        <v>12249.999999999996</v>
      </c>
      <c r="C37" s="18">
        <f t="shared" si="5"/>
        <v>3916.6666666666615</v>
      </c>
      <c r="D37" s="16">
        <f t="shared" si="6"/>
        <v>8333.3333333333339</v>
      </c>
      <c r="E37" s="17">
        <f t="shared" si="1"/>
        <v>774999.99999999895</v>
      </c>
      <c r="H37" s="14">
        <f t="shared" si="2"/>
        <v>27</v>
      </c>
      <c r="I37" s="21">
        <f t="shared" si="9"/>
        <v>11102.050194164944</v>
      </c>
      <c r="J37" s="22">
        <f t="shared" si="7"/>
        <v>4155.1128579651468</v>
      </c>
      <c r="K37" s="21">
        <f t="shared" si="8"/>
        <v>6946.9373361997968</v>
      </c>
      <c r="L37" s="17">
        <f t="shared" si="3"/>
        <v>824075.63425682962</v>
      </c>
    </row>
    <row r="38" spans="1:12" x14ac:dyDescent="0.2">
      <c r="A38" s="14">
        <f t="shared" si="0"/>
        <v>28</v>
      </c>
      <c r="B38" s="16">
        <f t="shared" si="4"/>
        <v>12208.333333333328</v>
      </c>
      <c r="C38" s="18">
        <f t="shared" si="5"/>
        <v>3874.999999999995</v>
      </c>
      <c r="D38" s="16">
        <f t="shared" si="6"/>
        <v>8333.3333333333339</v>
      </c>
      <c r="E38" s="17">
        <f t="shared" si="1"/>
        <v>766666.66666666558</v>
      </c>
      <c r="H38" s="14">
        <f t="shared" si="2"/>
        <v>28</v>
      </c>
      <c r="I38" s="21">
        <f t="shared" si="9"/>
        <v>11102.050194164944</v>
      </c>
      <c r="J38" s="22">
        <f t="shared" si="7"/>
        <v>4120.3781712841483</v>
      </c>
      <c r="K38" s="21">
        <f t="shared" si="8"/>
        <v>6981.6720228807953</v>
      </c>
      <c r="L38" s="17">
        <f t="shared" si="3"/>
        <v>817093.96223394887</v>
      </c>
    </row>
    <row r="39" spans="1:12" x14ac:dyDescent="0.2">
      <c r="A39" s="14">
        <f t="shared" si="0"/>
        <v>29</v>
      </c>
      <c r="B39" s="16">
        <f t="shared" si="4"/>
        <v>12166.666666666662</v>
      </c>
      <c r="C39" s="18">
        <f t="shared" si="5"/>
        <v>3833.333333333328</v>
      </c>
      <c r="D39" s="16">
        <f t="shared" si="6"/>
        <v>8333.3333333333339</v>
      </c>
      <c r="E39" s="17">
        <f t="shared" si="1"/>
        <v>758333.33333333221</v>
      </c>
      <c r="H39" s="14">
        <f t="shared" si="2"/>
        <v>29</v>
      </c>
      <c r="I39" s="21">
        <f t="shared" si="9"/>
        <v>11102.050194164944</v>
      </c>
      <c r="J39" s="22">
        <f t="shared" si="7"/>
        <v>4085.4698111697444</v>
      </c>
      <c r="K39" s="21">
        <f t="shared" si="8"/>
        <v>7016.5803829951992</v>
      </c>
      <c r="L39" s="17">
        <f t="shared" si="3"/>
        <v>810077.38185095368</v>
      </c>
    </row>
    <row r="40" spans="1:12" x14ac:dyDescent="0.2">
      <c r="A40" s="14">
        <f t="shared" si="0"/>
        <v>30</v>
      </c>
      <c r="B40" s="16">
        <f t="shared" si="4"/>
        <v>12124.999999999995</v>
      </c>
      <c r="C40" s="18">
        <f t="shared" si="5"/>
        <v>3791.6666666666611</v>
      </c>
      <c r="D40" s="16">
        <f t="shared" si="6"/>
        <v>8333.3333333333339</v>
      </c>
      <c r="E40" s="17">
        <f t="shared" si="1"/>
        <v>749999.99999999884</v>
      </c>
      <c r="H40" s="14">
        <f t="shared" si="2"/>
        <v>30</v>
      </c>
      <c r="I40" s="21">
        <f t="shared" si="9"/>
        <v>11102.050194164944</v>
      </c>
      <c r="J40" s="22">
        <f t="shared" si="7"/>
        <v>4050.3869092547684</v>
      </c>
      <c r="K40" s="21">
        <f t="shared" si="8"/>
        <v>7051.6632849101752</v>
      </c>
      <c r="L40" s="17">
        <f t="shared" si="3"/>
        <v>803025.71856604354</v>
      </c>
    </row>
    <row r="41" spans="1:12" x14ac:dyDescent="0.2">
      <c r="A41" s="14">
        <f t="shared" si="0"/>
        <v>31</v>
      </c>
      <c r="B41" s="16">
        <f t="shared" si="4"/>
        <v>12083.333333333328</v>
      </c>
      <c r="C41" s="18">
        <f t="shared" si="5"/>
        <v>3749.9999999999941</v>
      </c>
      <c r="D41" s="16">
        <f t="shared" si="6"/>
        <v>8333.3333333333339</v>
      </c>
      <c r="E41" s="17">
        <f t="shared" si="1"/>
        <v>741666.66666666546</v>
      </c>
      <c r="H41" s="14">
        <f t="shared" si="2"/>
        <v>31</v>
      </c>
      <c r="I41" s="21">
        <f t="shared" si="9"/>
        <v>11102.050194164944</v>
      </c>
      <c r="J41" s="29">
        <f t="shared" si="7"/>
        <v>4015.1285928302177</v>
      </c>
      <c r="K41" s="21">
        <f t="shared" si="8"/>
        <v>7086.9216013347259</v>
      </c>
      <c r="L41" s="17">
        <f t="shared" si="3"/>
        <v>795938.79696470883</v>
      </c>
    </row>
    <row r="42" spans="1:12" x14ac:dyDescent="0.2">
      <c r="A42" s="14">
        <f t="shared" si="0"/>
        <v>32</v>
      </c>
      <c r="B42" s="16">
        <f t="shared" si="4"/>
        <v>12041.666666666661</v>
      </c>
      <c r="C42" s="18">
        <f t="shared" si="5"/>
        <v>3708.3333333333276</v>
      </c>
      <c r="D42" s="16">
        <f t="shared" si="6"/>
        <v>8333.3333333333339</v>
      </c>
      <c r="E42" s="17">
        <f t="shared" si="1"/>
        <v>733333.33333333209</v>
      </c>
      <c r="H42" s="14">
        <f t="shared" si="2"/>
        <v>32</v>
      </c>
      <c r="I42" s="21">
        <f t="shared" si="9"/>
        <v>11102.050194164944</v>
      </c>
      <c r="J42" s="29">
        <f t="shared" si="7"/>
        <v>3979.6939848235443</v>
      </c>
      <c r="K42" s="21">
        <f t="shared" si="8"/>
        <v>7122.3562093413993</v>
      </c>
      <c r="L42" s="17">
        <f t="shared" si="3"/>
        <v>788816.4407553674</v>
      </c>
    </row>
    <row r="43" spans="1:12" x14ac:dyDescent="0.2">
      <c r="A43" s="14">
        <f t="shared" si="0"/>
        <v>33</v>
      </c>
      <c r="B43" s="16">
        <f t="shared" si="4"/>
        <v>11999.999999999995</v>
      </c>
      <c r="C43" s="18">
        <f t="shared" si="5"/>
        <v>3666.6666666666606</v>
      </c>
      <c r="D43" s="16">
        <f t="shared" si="6"/>
        <v>8333.3333333333339</v>
      </c>
      <c r="E43" s="17">
        <f t="shared" si="1"/>
        <v>724999.99999999872</v>
      </c>
      <c r="H43" s="14">
        <f t="shared" ref="H43:H69" si="10">H42+1</f>
        <v>33</v>
      </c>
      <c r="I43" s="21">
        <f t="shared" si="9"/>
        <v>11102.050194164944</v>
      </c>
      <c r="J43" s="29">
        <f t="shared" ref="J43:J69" si="11">L42*$I$6</f>
        <v>3944.0822037768371</v>
      </c>
      <c r="K43" s="21">
        <f t="shared" ref="K43:K69" si="12">I43-J43</f>
        <v>7157.967990388106</v>
      </c>
      <c r="L43" s="17">
        <f t="shared" ref="L43:L69" si="13">L42-K43</f>
        <v>781658.47276497923</v>
      </c>
    </row>
    <row r="44" spans="1:12" x14ac:dyDescent="0.2">
      <c r="A44" s="14">
        <f t="shared" si="0"/>
        <v>34</v>
      </c>
      <c r="B44" s="16">
        <f t="shared" si="4"/>
        <v>11958.333333333328</v>
      </c>
      <c r="C44" s="18">
        <f t="shared" si="5"/>
        <v>3624.9999999999936</v>
      </c>
      <c r="D44" s="16">
        <f t="shared" si="6"/>
        <v>8333.3333333333339</v>
      </c>
      <c r="E44" s="17">
        <f t="shared" si="1"/>
        <v>716666.66666666535</v>
      </c>
      <c r="H44" s="14">
        <f t="shared" si="10"/>
        <v>34</v>
      </c>
      <c r="I44" s="21">
        <f t="shared" si="9"/>
        <v>11102.050194164944</v>
      </c>
      <c r="J44" s="29">
        <f t="shared" si="11"/>
        <v>3908.2923638248963</v>
      </c>
      <c r="K44" s="21">
        <f t="shared" si="12"/>
        <v>7193.7578303400478</v>
      </c>
      <c r="L44" s="17">
        <f t="shared" si="13"/>
        <v>774464.71493463917</v>
      </c>
    </row>
    <row r="45" spans="1:12" x14ac:dyDescent="0.2">
      <c r="A45" s="14">
        <f t="shared" si="0"/>
        <v>35</v>
      </c>
      <c r="B45" s="16">
        <f t="shared" si="4"/>
        <v>11916.666666666661</v>
      </c>
      <c r="C45" s="18">
        <f t="shared" si="5"/>
        <v>3583.3333333333267</v>
      </c>
      <c r="D45" s="16">
        <f t="shared" si="6"/>
        <v>8333.3333333333339</v>
      </c>
      <c r="E45" s="17">
        <f t="shared" si="1"/>
        <v>708333.33333333198</v>
      </c>
      <c r="H45" s="14">
        <f t="shared" si="10"/>
        <v>35</v>
      </c>
      <c r="I45" s="21">
        <f t="shared" si="9"/>
        <v>11102.050194164944</v>
      </c>
      <c r="J45" s="29">
        <f t="shared" si="11"/>
        <v>3872.3235746731957</v>
      </c>
      <c r="K45" s="21">
        <f t="shared" si="12"/>
        <v>7229.7266194917484</v>
      </c>
      <c r="L45" s="17">
        <f t="shared" si="13"/>
        <v>767234.98831514746</v>
      </c>
    </row>
    <row r="46" spans="1:12" x14ac:dyDescent="0.2">
      <c r="A46" s="14">
        <f t="shared" si="0"/>
        <v>36</v>
      </c>
      <c r="B46" s="16">
        <f t="shared" si="4"/>
        <v>11874.999999999995</v>
      </c>
      <c r="C46" s="18">
        <f t="shared" si="5"/>
        <v>3541.6666666666601</v>
      </c>
      <c r="D46" s="16">
        <f t="shared" si="6"/>
        <v>8333.3333333333339</v>
      </c>
      <c r="E46" s="17">
        <f t="shared" si="1"/>
        <v>699999.9999999986</v>
      </c>
      <c r="H46" s="14">
        <f t="shared" si="10"/>
        <v>36</v>
      </c>
      <c r="I46" s="21">
        <f t="shared" si="9"/>
        <v>11102.050194164944</v>
      </c>
      <c r="J46" s="29">
        <f t="shared" si="11"/>
        <v>3836.1749415757372</v>
      </c>
      <c r="K46" s="21">
        <f t="shared" si="12"/>
        <v>7265.8752525892069</v>
      </c>
      <c r="L46" s="17">
        <f t="shared" si="13"/>
        <v>759969.11306255823</v>
      </c>
    </row>
    <row r="47" spans="1:12" x14ac:dyDescent="0.2">
      <c r="A47" s="14">
        <f t="shared" si="0"/>
        <v>37</v>
      </c>
      <c r="B47" s="16">
        <f t="shared" si="4"/>
        <v>11833.333333333327</v>
      </c>
      <c r="C47" s="18">
        <f t="shared" si="5"/>
        <v>3499.9999999999932</v>
      </c>
      <c r="D47" s="16">
        <f t="shared" si="6"/>
        <v>8333.3333333333339</v>
      </c>
      <c r="E47" s="17">
        <f t="shared" si="1"/>
        <v>691666.66666666523</v>
      </c>
      <c r="H47" s="14">
        <f t="shared" si="10"/>
        <v>37</v>
      </c>
      <c r="I47" s="21">
        <f t="shared" si="9"/>
        <v>11102.050194164944</v>
      </c>
      <c r="J47" s="29">
        <f t="shared" si="11"/>
        <v>3799.8455653127912</v>
      </c>
      <c r="K47" s="21">
        <f t="shared" si="12"/>
        <v>7302.2046288521524</v>
      </c>
      <c r="L47" s="17">
        <f t="shared" si="13"/>
        <v>752666.90843370603</v>
      </c>
    </row>
    <row r="48" spans="1:12" x14ac:dyDescent="0.2">
      <c r="A48" s="14">
        <f t="shared" si="0"/>
        <v>38</v>
      </c>
      <c r="B48" s="16">
        <f t="shared" si="4"/>
        <v>11791.666666666661</v>
      </c>
      <c r="C48" s="18">
        <f t="shared" si="5"/>
        <v>3458.3333333333262</v>
      </c>
      <c r="D48" s="16">
        <f t="shared" si="6"/>
        <v>8333.3333333333339</v>
      </c>
      <c r="E48" s="17">
        <f t="shared" si="1"/>
        <v>683333.33333333186</v>
      </c>
      <c r="H48" s="14">
        <f t="shared" si="10"/>
        <v>38</v>
      </c>
      <c r="I48" s="21">
        <f t="shared" si="9"/>
        <v>11102.050194164944</v>
      </c>
      <c r="J48" s="29">
        <f t="shared" si="11"/>
        <v>3763.3345421685303</v>
      </c>
      <c r="K48" s="21">
        <f t="shared" si="12"/>
        <v>7338.7156519964137</v>
      </c>
      <c r="L48" s="17">
        <f t="shared" si="13"/>
        <v>745328.1927817096</v>
      </c>
    </row>
    <row r="49" spans="1:12" x14ac:dyDescent="0.2">
      <c r="A49" s="14">
        <f t="shared" si="0"/>
        <v>39</v>
      </c>
      <c r="B49" s="16">
        <f t="shared" si="4"/>
        <v>11749.999999999993</v>
      </c>
      <c r="C49" s="18">
        <f t="shared" si="5"/>
        <v>3416.6666666666592</v>
      </c>
      <c r="D49" s="16">
        <f t="shared" si="6"/>
        <v>8333.3333333333339</v>
      </c>
      <c r="E49" s="17">
        <f t="shared" si="1"/>
        <v>674999.99999999849</v>
      </c>
      <c r="H49" s="14">
        <f t="shared" si="10"/>
        <v>39</v>
      </c>
      <c r="I49" s="21">
        <f t="shared" si="9"/>
        <v>11102.050194164944</v>
      </c>
      <c r="J49" s="29">
        <f t="shared" si="11"/>
        <v>3726.6409639085482</v>
      </c>
      <c r="K49" s="21">
        <f t="shared" si="12"/>
        <v>7375.4092302563949</v>
      </c>
      <c r="L49" s="17">
        <f t="shared" si="13"/>
        <v>737952.78355145315</v>
      </c>
    </row>
    <row r="50" spans="1:12" x14ac:dyDescent="0.2">
      <c r="A50" s="14">
        <f t="shared" si="0"/>
        <v>40</v>
      </c>
      <c r="B50" s="16">
        <f t="shared" si="4"/>
        <v>11708.333333333327</v>
      </c>
      <c r="C50" s="18">
        <f t="shared" si="5"/>
        <v>3374.9999999999927</v>
      </c>
      <c r="D50" s="16">
        <f t="shared" si="6"/>
        <v>8333.3333333333339</v>
      </c>
      <c r="E50" s="17">
        <f t="shared" si="1"/>
        <v>666666.66666666511</v>
      </c>
      <c r="H50" s="14">
        <f t="shared" si="10"/>
        <v>40</v>
      </c>
      <c r="I50" s="21">
        <f t="shared" si="9"/>
        <v>11102.050194164944</v>
      </c>
      <c r="J50" s="29">
        <f t="shared" si="11"/>
        <v>3689.763917757266</v>
      </c>
      <c r="K50" s="21">
        <f t="shared" si="12"/>
        <v>7412.2862764076781</v>
      </c>
      <c r="L50" s="17">
        <f t="shared" si="13"/>
        <v>730540.49727504549</v>
      </c>
    </row>
    <row r="51" spans="1:12" x14ac:dyDescent="0.2">
      <c r="A51" s="14">
        <f t="shared" si="0"/>
        <v>41</v>
      </c>
      <c r="B51" s="16">
        <f t="shared" si="4"/>
        <v>11666.666666666661</v>
      </c>
      <c r="C51" s="18">
        <f t="shared" si="5"/>
        <v>3333.3333333333258</v>
      </c>
      <c r="D51" s="16">
        <f t="shared" si="6"/>
        <v>8333.3333333333339</v>
      </c>
      <c r="E51" s="17">
        <f t="shared" si="1"/>
        <v>658333.33333333174</v>
      </c>
      <c r="H51" s="14">
        <f t="shared" si="10"/>
        <v>41</v>
      </c>
      <c r="I51" s="21">
        <f t="shared" si="9"/>
        <v>11102.050194164944</v>
      </c>
      <c r="J51" s="29">
        <f t="shared" si="11"/>
        <v>3652.7024863752276</v>
      </c>
      <c r="K51" s="21">
        <f t="shared" si="12"/>
        <v>7449.347707789716</v>
      </c>
      <c r="L51" s="17">
        <f t="shared" si="13"/>
        <v>723091.14956725575</v>
      </c>
    </row>
    <row r="52" spans="1:12" x14ac:dyDescent="0.2">
      <c r="A52" s="14">
        <f t="shared" si="0"/>
        <v>42</v>
      </c>
      <c r="B52" s="16">
        <f t="shared" si="4"/>
        <v>11624.999999999993</v>
      </c>
      <c r="C52" s="18">
        <f t="shared" si="5"/>
        <v>3291.6666666666588</v>
      </c>
      <c r="D52" s="16">
        <f t="shared" si="6"/>
        <v>8333.3333333333339</v>
      </c>
      <c r="E52" s="17">
        <f t="shared" si="1"/>
        <v>649999.99999999837</v>
      </c>
      <c r="H52" s="14">
        <f t="shared" si="10"/>
        <v>42</v>
      </c>
      <c r="I52" s="21">
        <f t="shared" si="9"/>
        <v>11102.050194164944</v>
      </c>
      <c r="J52" s="29">
        <f t="shared" si="11"/>
        <v>3615.455747836279</v>
      </c>
      <c r="K52" s="21">
        <f t="shared" si="12"/>
        <v>7486.5944463286651</v>
      </c>
      <c r="L52" s="17">
        <f t="shared" si="13"/>
        <v>715604.55512092705</v>
      </c>
    </row>
    <row r="53" spans="1:12" x14ac:dyDescent="0.2">
      <c r="A53" s="14">
        <f t="shared" si="0"/>
        <v>43</v>
      </c>
      <c r="B53" s="16">
        <f t="shared" si="4"/>
        <v>11583.333333333325</v>
      </c>
      <c r="C53" s="18">
        <f t="shared" si="5"/>
        <v>3249.9999999999918</v>
      </c>
      <c r="D53" s="16">
        <f t="shared" si="6"/>
        <v>8333.3333333333339</v>
      </c>
      <c r="E53" s="17">
        <f t="shared" si="1"/>
        <v>641666.666666665</v>
      </c>
      <c r="H53" s="14">
        <f t="shared" si="10"/>
        <v>43</v>
      </c>
      <c r="I53" s="21">
        <f t="shared" si="9"/>
        <v>11102.050194164944</v>
      </c>
      <c r="J53" s="29">
        <f t="shared" si="11"/>
        <v>3578.0227756046352</v>
      </c>
      <c r="K53" s="21">
        <f t="shared" si="12"/>
        <v>7524.0274185603084</v>
      </c>
      <c r="L53" s="17">
        <f t="shared" si="13"/>
        <v>708080.5277023667</v>
      </c>
    </row>
    <row r="54" spans="1:12" x14ac:dyDescent="0.2">
      <c r="A54" s="14">
        <f t="shared" si="0"/>
        <v>44</v>
      </c>
      <c r="B54" s="16">
        <f t="shared" si="4"/>
        <v>11541.666666666659</v>
      </c>
      <c r="C54" s="18">
        <f t="shared" si="5"/>
        <v>3208.3333333333248</v>
      </c>
      <c r="D54" s="16">
        <f t="shared" si="6"/>
        <v>8333.3333333333339</v>
      </c>
      <c r="E54" s="17">
        <f t="shared" si="1"/>
        <v>633333.33333333163</v>
      </c>
      <c r="H54" s="14">
        <f t="shared" si="10"/>
        <v>44</v>
      </c>
      <c r="I54" s="21">
        <f t="shared" si="9"/>
        <v>11102.050194164944</v>
      </c>
      <c r="J54" s="29">
        <f t="shared" si="11"/>
        <v>3540.4026385118336</v>
      </c>
      <c r="K54" s="21">
        <f t="shared" si="12"/>
        <v>7561.6475556531095</v>
      </c>
      <c r="L54" s="17">
        <f t="shared" si="13"/>
        <v>700518.88014671358</v>
      </c>
    </row>
    <row r="55" spans="1:12" x14ac:dyDescent="0.2">
      <c r="A55" s="14">
        <f t="shared" si="0"/>
        <v>45</v>
      </c>
      <c r="B55" s="16">
        <f t="shared" si="4"/>
        <v>11499.999999999993</v>
      </c>
      <c r="C55" s="18">
        <f t="shared" si="5"/>
        <v>3166.6666666666583</v>
      </c>
      <c r="D55" s="16">
        <f t="shared" si="6"/>
        <v>8333.3333333333339</v>
      </c>
      <c r="E55" s="17">
        <f t="shared" si="1"/>
        <v>624999.99999999825</v>
      </c>
      <c r="H55" s="14">
        <f t="shared" si="10"/>
        <v>45</v>
      </c>
      <c r="I55" s="21">
        <f t="shared" si="9"/>
        <v>11102.050194164944</v>
      </c>
      <c r="J55" s="29">
        <f t="shared" si="11"/>
        <v>3502.5944007335679</v>
      </c>
      <c r="K55" s="21">
        <f t="shared" si="12"/>
        <v>7599.4557934313762</v>
      </c>
      <c r="L55" s="17">
        <f t="shared" si="13"/>
        <v>692919.4243532822</v>
      </c>
    </row>
    <row r="56" spans="1:12" x14ac:dyDescent="0.2">
      <c r="A56" s="14">
        <f t="shared" si="0"/>
        <v>46</v>
      </c>
      <c r="B56" s="16">
        <f t="shared" si="4"/>
        <v>11458.333333333325</v>
      </c>
      <c r="C56" s="18">
        <f t="shared" si="5"/>
        <v>3124.9999999999914</v>
      </c>
      <c r="D56" s="16">
        <f t="shared" si="6"/>
        <v>8333.3333333333339</v>
      </c>
      <c r="E56" s="17">
        <f t="shared" si="1"/>
        <v>616666.66666666488</v>
      </c>
      <c r="H56" s="14">
        <f t="shared" si="10"/>
        <v>46</v>
      </c>
      <c r="I56" s="21">
        <f t="shared" si="9"/>
        <v>11102.050194164944</v>
      </c>
      <c r="J56" s="29">
        <f t="shared" si="11"/>
        <v>3464.597121766411</v>
      </c>
      <c r="K56" s="21">
        <f t="shared" si="12"/>
        <v>7637.4530723985326</v>
      </c>
      <c r="L56" s="17">
        <f t="shared" si="13"/>
        <v>685281.97128088365</v>
      </c>
    </row>
    <row r="57" spans="1:12" x14ac:dyDescent="0.2">
      <c r="A57" s="14">
        <f t="shared" si="0"/>
        <v>47</v>
      </c>
      <c r="B57" s="16">
        <f t="shared" si="4"/>
        <v>11416.666666666659</v>
      </c>
      <c r="C57" s="18">
        <f t="shared" si="5"/>
        <v>3083.3333333333244</v>
      </c>
      <c r="D57" s="16">
        <f t="shared" si="6"/>
        <v>8333.3333333333339</v>
      </c>
      <c r="E57" s="17">
        <f t="shared" si="1"/>
        <v>608333.33333333151</v>
      </c>
      <c r="H57" s="14">
        <f t="shared" si="10"/>
        <v>47</v>
      </c>
      <c r="I57" s="21">
        <f t="shared" si="9"/>
        <v>11102.050194164944</v>
      </c>
      <c r="J57" s="29">
        <f t="shared" si="11"/>
        <v>3426.4098564044184</v>
      </c>
      <c r="K57" s="21">
        <f t="shared" si="12"/>
        <v>7675.6403377605257</v>
      </c>
      <c r="L57" s="17">
        <f t="shared" si="13"/>
        <v>677606.33094312309</v>
      </c>
    </row>
    <row r="58" spans="1:12" x14ac:dyDescent="0.2">
      <c r="A58" s="14">
        <f t="shared" si="0"/>
        <v>48</v>
      </c>
      <c r="B58" s="16">
        <f t="shared" si="4"/>
        <v>11374.999999999991</v>
      </c>
      <c r="C58" s="18">
        <f t="shared" si="5"/>
        <v>3041.6666666666574</v>
      </c>
      <c r="D58" s="16">
        <f t="shared" si="6"/>
        <v>8333.3333333333339</v>
      </c>
      <c r="E58" s="17">
        <f t="shared" si="1"/>
        <v>599999.99999999814</v>
      </c>
      <c r="H58" s="14">
        <f t="shared" si="10"/>
        <v>48</v>
      </c>
      <c r="I58" s="21">
        <f t="shared" si="9"/>
        <v>11102.050194164944</v>
      </c>
      <c r="J58" s="29">
        <f t="shared" si="11"/>
        <v>3388.0316547156153</v>
      </c>
      <c r="K58" s="21">
        <f t="shared" si="12"/>
        <v>7714.0185394493283</v>
      </c>
      <c r="L58" s="17">
        <f t="shared" si="13"/>
        <v>669892.31240367377</v>
      </c>
    </row>
    <row r="59" spans="1:12" x14ac:dyDescent="0.2">
      <c r="A59" s="14">
        <f t="shared" si="0"/>
        <v>49</v>
      </c>
      <c r="B59" s="16">
        <f t="shared" si="4"/>
        <v>11333.333333333325</v>
      </c>
      <c r="C59" s="18">
        <f t="shared" si="5"/>
        <v>2999.9999999999909</v>
      </c>
      <c r="D59" s="16">
        <f t="shared" si="6"/>
        <v>8333.3333333333339</v>
      </c>
      <c r="E59" s="17">
        <f t="shared" si="1"/>
        <v>591666.66666666477</v>
      </c>
      <c r="H59" s="14">
        <f t="shared" si="10"/>
        <v>49</v>
      </c>
      <c r="I59" s="21">
        <f t="shared" si="9"/>
        <v>11102.050194164944</v>
      </c>
      <c r="J59" s="29">
        <f t="shared" si="11"/>
        <v>3349.461562018369</v>
      </c>
      <c r="K59" s="21">
        <f t="shared" si="12"/>
        <v>7752.588632146575</v>
      </c>
      <c r="L59" s="17">
        <f t="shared" si="13"/>
        <v>662139.72377152718</v>
      </c>
    </row>
    <row r="60" spans="1:12" x14ac:dyDescent="0.2">
      <c r="A60" s="14">
        <f t="shared" si="0"/>
        <v>50</v>
      </c>
      <c r="B60" s="16">
        <f t="shared" si="4"/>
        <v>11291.666666666657</v>
      </c>
      <c r="C60" s="18">
        <f t="shared" si="5"/>
        <v>2958.3333333333239</v>
      </c>
      <c r="D60" s="16">
        <f t="shared" si="6"/>
        <v>8333.3333333333339</v>
      </c>
      <c r="E60" s="17">
        <f t="shared" si="1"/>
        <v>583333.33333333139</v>
      </c>
      <c r="H60" s="14">
        <f t="shared" si="10"/>
        <v>50</v>
      </c>
      <c r="I60" s="21">
        <f t="shared" si="9"/>
        <v>11102.050194164944</v>
      </c>
      <c r="J60" s="29">
        <f t="shared" si="11"/>
        <v>3310.6986188576361</v>
      </c>
      <c r="K60" s="21">
        <f t="shared" si="12"/>
        <v>7791.3515753073079</v>
      </c>
      <c r="L60" s="17">
        <f t="shared" si="13"/>
        <v>654348.37219621986</v>
      </c>
    </row>
    <row r="61" spans="1:12" x14ac:dyDescent="0.2">
      <c r="A61" s="14">
        <f t="shared" si="0"/>
        <v>51</v>
      </c>
      <c r="B61" s="16">
        <f t="shared" si="4"/>
        <v>11249.999999999991</v>
      </c>
      <c r="C61" s="18">
        <f t="shared" si="5"/>
        <v>2916.666666666657</v>
      </c>
      <c r="D61" s="16">
        <f t="shared" si="6"/>
        <v>8333.3333333333339</v>
      </c>
      <c r="E61" s="17">
        <f t="shared" si="1"/>
        <v>574999.99999999802</v>
      </c>
      <c r="H61" s="14">
        <f t="shared" si="10"/>
        <v>51</v>
      </c>
      <c r="I61" s="21">
        <f t="shared" si="9"/>
        <v>11102.050194164944</v>
      </c>
      <c r="J61" s="29">
        <f t="shared" si="11"/>
        <v>3271.7418609810993</v>
      </c>
      <c r="K61" s="21">
        <f t="shared" si="12"/>
        <v>7830.3083331838443</v>
      </c>
      <c r="L61" s="17">
        <f t="shared" si="13"/>
        <v>646518.06386303599</v>
      </c>
    </row>
    <row r="62" spans="1:12" x14ac:dyDescent="0.2">
      <c r="A62" s="14">
        <f t="shared" si="0"/>
        <v>52</v>
      </c>
      <c r="B62" s="16">
        <f t="shared" si="4"/>
        <v>11208.333333333325</v>
      </c>
      <c r="C62" s="18">
        <f t="shared" si="5"/>
        <v>2874.99999999999</v>
      </c>
      <c r="D62" s="16">
        <f t="shared" si="6"/>
        <v>8333.3333333333339</v>
      </c>
      <c r="E62" s="17">
        <f t="shared" si="1"/>
        <v>566666.66666666465</v>
      </c>
      <c r="H62" s="14">
        <f t="shared" si="10"/>
        <v>52</v>
      </c>
      <c r="I62" s="21">
        <f t="shared" si="9"/>
        <v>11102.050194164944</v>
      </c>
      <c r="J62" s="29">
        <f t="shared" si="11"/>
        <v>3232.5903193151798</v>
      </c>
      <c r="K62" s="21">
        <f t="shared" si="12"/>
        <v>7869.4598748497638</v>
      </c>
      <c r="L62" s="17">
        <f t="shared" si="13"/>
        <v>638648.60398818622</v>
      </c>
    </row>
    <row r="63" spans="1:12" x14ac:dyDescent="0.2">
      <c r="A63" s="14">
        <f t="shared" si="0"/>
        <v>53</v>
      </c>
      <c r="B63" s="16">
        <f t="shared" si="4"/>
        <v>11166.666666666657</v>
      </c>
      <c r="C63" s="18">
        <f t="shared" si="5"/>
        <v>2833.3333333333235</v>
      </c>
      <c r="D63" s="16">
        <f t="shared" si="6"/>
        <v>8333.3333333333339</v>
      </c>
      <c r="E63" s="17">
        <f t="shared" si="1"/>
        <v>558333.33333333128</v>
      </c>
      <c r="H63" s="14">
        <f t="shared" si="10"/>
        <v>53</v>
      </c>
      <c r="I63" s="21">
        <f t="shared" si="9"/>
        <v>11102.050194164944</v>
      </c>
      <c r="J63" s="29">
        <f t="shared" si="11"/>
        <v>3193.2430199409314</v>
      </c>
      <c r="K63" s="21">
        <f t="shared" si="12"/>
        <v>7908.8071742240118</v>
      </c>
      <c r="L63" s="17">
        <f t="shared" si="13"/>
        <v>630739.79681396217</v>
      </c>
    </row>
    <row r="64" spans="1:12" x14ac:dyDescent="0.2">
      <c r="A64" s="14">
        <f t="shared" si="0"/>
        <v>54</v>
      </c>
      <c r="B64" s="16">
        <f t="shared" si="4"/>
        <v>11124.999999999991</v>
      </c>
      <c r="C64" s="18">
        <f t="shared" si="5"/>
        <v>2791.6666666666565</v>
      </c>
      <c r="D64" s="16">
        <f t="shared" si="6"/>
        <v>8333.3333333333339</v>
      </c>
      <c r="E64" s="17">
        <f t="shared" si="1"/>
        <v>549999.9999999979</v>
      </c>
      <c r="H64" s="14">
        <f t="shared" si="10"/>
        <v>54</v>
      </c>
      <c r="I64" s="21">
        <f t="shared" si="9"/>
        <v>11102.050194164944</v>
      </c>
      <c r="J64" s="29">
        <f t="shared" si="11"/>
        <v>3153.6989840698111</v>
      </c>
      <c r="K64" s="21">
        <f t="shared" si="12"/>
        <v>7948.351210095132</v>
      </c>
      <c r="L64" s="17">
        <f t="shared" si="13"/>
        <v>622791.44560386706</v>
      </c>
    </row>
    <row r="65" spans="1:12" x14ac:dyDescent="0.2">
      <c r="A65" s="14">
        <f t="shared" si="0"/>
        <v>55</v>
      </c>
      <c r="B65" s="16">
        <f t="shared" si="4"/>
        <v>11083.333333333323</v>
      </c>
      <c r="C65" s="18">
        <f t="shared" si="5"/>
        <v>2749.9999999999895</v>
      </c>
      <c r="D65" s="16">
        <f t="shared" si="6"/>
        <v>8333.3333333333339</v>
      </c>
      <c r="E65" s="17">
        <f t="shared" si="1"/>
        <v>541666.66666666453</v>
      </c>
      <c r="H65" s="14">
        <f t="shared" si="10"/>
        <v>55</v>
      </c>
      <c r="I65" s="21">
        <f t="shared" si="9"/>
        <v>11102.050194164944</v>
      </c>
      <c r="J65" s="29">
        <f t="shared" si="11"/>
        <v>3113.9572280193352</v>
      </c>
      <c r="K65" s="21">
        <f t="shared" si="12"/>
        <v>7988.0929661456084</v>
      </c>
      <c r="L65" s="17">
        <f t="shared" si="13"/>
        <v>614803.35263772146</v>
      </c>
    </row>
    <row r="66" spans="1:12" x14ac:dyDescent="0.2">
      <c r="A66" s="14">
        <f t="shared" si="0"/>
        <v>56</v>
      </c>
      <c r="B66" s="16">
        <f t="shared" si="4"/>
        <v>11041.666666666657</v>
      </c>
      <c r="C66" s="18">
        <f t="shared" si="5"/>
        <v>2708.3333333333226</v>
      </c>
      <c r="D66" s="16">
        <f t="shared" si="6"/>
        <v>8333.3333333333339</v>
      </c>
      <c r="E66" s="17">
        <f t="shared" si="1"/>
        <v>533333.33333333116</v>
      </c>
      <c r="H66" s="14">
        <f t="shared" si="10"/>
        <v>56</v>
      </c>
      <c r="I66" s="21">
        <f t="shared" si="9"/>
        <v>11102.050194164944</v>
      </c>
      <c r="J66" s="29">
        <f t="shared" si="11"/>
        <v>3074.0167631886075</v>
      </c>
      <c r="K66" s="21">
        <f t="shared" si="12"/>
        <v>8028.0334309763366</v>
      </c>
      <c r="L66" s="17">
        <f t="shared" si="13"/>
        <v>606775.31920674513</v>
      </c>
    </row>
    <row r="67" spans="1:12" x14ac:dyDescent="0.2">
      <c r="A67" s="14">
        <f t="shared" si="0"/>
        <v>57</v>
      </c>
      <c r="B67" s="16">
        <f t="shared" si="4"/>
        <v>10999.999999999989</v>
      </c>
      <c r="C67" s="18">
        <f t="shared" si="5"/>
        <v>2666.6666666666561</v>
      </c>
      <c r="D67" s="16">
        <f t="shared" si="6"/>
        <v>8333.3333333333339</v>
      </c>
      <c r="E67" s="17">
        <f t="shared" si="1"/>
        <v>524999.99999999779</v>
      </c>
      <c r="H67" s="14">
        <f t="shared" si="10"/>
        <v>57</v>
      </c>
      <c r="I67" s="21">
        <f t="shared" si="9"/>
        <v>11102.050194164944</v>
      </c>
      <c r="J67" s="29">
        <f t="shared" si="11"/>
        <v>3033.8765960337255</v>
      </c>
      <c r="K67" s="21">
        <f t="shared" si="12"/>
        <v>8068.1735981312177</v>
      </c>
      <c r="L67" s="17">
        <f t="shared" si="13"/>
        <v>598707.14560861397</v>
      </c>
    </row>
    <row r="68" spans="1:12" x14ac:dyDescent="0.2">
      <c r="A68" s="14">
        <f t="shared" si="0"/>
        <v>58</v>
      </c>
      <c r="B68" s="16">
        <f t="shared" si="4"/>
        <v>10958.333333333323</v>
      </c>
      <c r="C68" s="18">
        <f t="shared" si="5"/>
        <v>2624.9999999999891</v>
      </c>
      <c r="D68" s="16">
        <f t="shared" si="6"/>
        <v>8333.3333333333339</v>
      </c>
      <c r="E68" s="17">
        <f t="shared" si="1"/>
        <v>516666.66666666447</v>
      </c>
      <c r="H68" s="14">
        <f t="shared" si="10"/>
        <v>58</v>
      </c>
      <c r="I68" s="21">
        <f t="shared" si="9"/>
        <v>11102.050194164944</v>
      </c>
      <c r="J68" s="29">
        <f t="shared" si="11"/>
        <v>2993.5357280430699</v>
      </c>
      <c r="K68" s="21">
        <f t="shared" si="12"/>
        <v>8108.5144661218737</v>
      </c>
      <c r="L68" s="17">
        <f t="shared" si="13"/>
        <v>590598.63114249206</v>
      </c>
    </row>
    <row r="69" spans="1:12" x14ac:dyDescent="0.2">
      <c r="A69" s="14">
        <f t="shared" si="0"/>
        <v>59</v>
      </c>
      <c r="B69" s="16">
        <f t="shared" si="4"/>
        <v>10916.666666666657</v>
      </c>
      <c r="C69" s="18">
        <f t="shared" si="5"/>
        <v>2583.3333333333226</v>
      </c>
      <c r="D69" s="16">
        <f t="shared" si="6"/>
        <v>8333.3333333333339</v>
      </c>
      <c r="E69" s="17">
        <f t="shared" si="1"/>
        <v>508333.33333333116</v>
      </c>
      <c r="H69" s="14">
        <f t="shared" si="10"/>
        <v>59</v>
      </c>
      <c r="I69" s="21">
        <f t="shared" si="9"/>
        <v>11102.050194164944</v>
      </c>
      <c r="J69" s="29">
        <f t="shared" si="11"/>
        <v>2952.9931557124605</v>
      </c>
      <c r="K69" s="21">
        <f t="shared" si="12"/>
        <v>8149.0570384524835</v>
      </c>
      <c r="L69" s="17">
        <f t="shared" si="13"/>
        <v>582449.57410403958</v>
      </c>
    </row>
    <row r="70" spans="1:12" x14ac:dyDescent="0.2">
      <c r="A70" s="14">
        <f t="shared" si="0"/>
        <v>60</v>
      </c>
      <c r="B70" s="16">
        <f t="shared" si="4"/>
        <v>10874.999999999989</v>
      </c>
      <c r="C70" s="18">
        <f t="shared" si="5"/>
        <v>2541.6666666666561</v>
      </c>
      <c r="D70" s="16">
        <f t="shared" si="6"/>
        <v>8333.3333333333339</v>
      </c>
      <c r="E70" s="17">
        <f t="shared" si="1"/>
        <v>499999.99999999785</v>
      </c>
      <c r="H70" s="14">
        <f t="shared" ref="H70:H130" si="14">H69+1</f>
        <v>60</v>
      </c>
      <c r="I70" s="21">
        <f t="shared" si="9"/>
        <v>11102.050194164944</v>
      </c>
      <c r="J70" s="29">
        <f t="shared" ref="J70:J130" si="15">L69*$I$6</f>
        <v>2912.2478705201979</v>
      </c>
      <c r="K70" s="21">
        <f t="shared" ref="K70:K130" si="16">I70-J70</f>
        <v>8189.8023236447461</v>
      </c>
      <c r="L70" s="17">
        <f t="shared" ref="L70:L130" si="17">L69-K70</f>
        <v>574259.77178039483</v>
      </c>
    </row>
    <row r="71" spans="1:12" x14ac:dyDescent="0.2">
      <c r="A71" s="14">
        <f t="shared" si="0"/>
        <v>61</v>
      </c>
      <c r="B71" s="16">
        <f t="shared" si="4"/>
        <v>10833.333333333323</v>
      </c>
      <c r="C71" s="18">
        <f t="shared" si="5"/>
        <v>2499.9999999999891</v>
      </c>
      <c r="D71" s="16">
        <f t="shared" si="6"/>
        <v>8333.3333333333339</v>
      </c>
      <c r="E71" s="17">
        <f t="shared" si="1"/>
        <v>491666.66666666453</v>
      </c>
      <c r="H71" s="14">
        <f t="shared" si="14"/>
        <v>61</v>
      </c>
      <c r="I71" s="21">
        <f t="shared" si="9"/>
        <v>11102.050194164944</v>
      </c>
      <c r="J71" s="29">
        <f t="shared" si="15"/>
        <v>2871.2988589019742</v>
      </c>
      <c r="K71" s="21">
        <f t="shared" si="16"/>
        <v>8230.7513352629685</v>
      </c>
      <c r="L71" s="17">
        <f t="shared" si="17"/>
        <v>566029.02044513181</v>
      </c>
    </row>
    <row r="72" spans="1:12" x14ac:dyDescent="0.2">
      <c r="A72" s="14">
        <f t="shared" si="0"/>
        <v>62</v>
      </c>
      <c r="B72" s="16">
        <f t="shared" si="4"/>
        <v>10791.666666666657</v>
      </c>
      <c r="C72" s="18">
        <f t="shared" si="5"/>
        <v>2458.3333333333226</v>
      </c>
      <c r="D72" s="16">
        <f t="shared" si="6"/>
        <v>8333.3333333333339</v>
      </c>
      <c r="E72" s="17">
        <f t="shared" si="1"/>
        <v>483333.33333333122</v>
      </c>
      <c r="H72" s="14">
        <f t="shared" si="14"/>
        <v>62</v>
      </c>
      <c r="I72" s="21">
        <f t="shared" si="9"/>
        <v>11102.050194164944</v>
      </c>
      <c r="J72" s="29">
        <f t="shared" si="15"/>
        <v>2830.1451022256592</v>
      </c>
      <c r="K72" s="21">
        <f t="shared" si="16"/>
        <v>8271.9050919392848</v>
      </c>
      <c r="L72" s="17">
        <f t="shared" si="17"/>
        <v>557757.11535319255</v>
      </c>
    </row>
    <row r="73" spans="1:12" x14ac:dyDescent="0.2">
      <c r="A73" s="14">
        <f t="shared" si="0"/>
        <v>63</v>
      </c>
      <c r="B73" s="16">
        <f t="shared" si="4"/>
        <v>10749.999999999989</v>
      </c>
      <c r="C73" s="18">
        <f t="shared" si="5"/>
        <v>2416.6666666666561</v>
      </c>
      <c r="D73" s="16">
        <f t="shared" si="6"/>
        <v>8333.3333333333339</v>
      </c>
      <c r="E73" s="17">
        <f t="shared" si="1"/>
        <v>474999.9999999979</v>
      </c>
      <c r="H73" s="14">
        <f t="shared" si="14"/>
        <v>63</v>
      </c>
      <c r="I73" s="21">
        <f t="shared" si="9"/>
        <v>11102.050194164944</v>
      </c>
      <c r="J73" s="29">
        <f t="shared" si="15"/>
        <v>2788.785576765963</v>
      </c>
      <c r="K73" s="21">
        <f t="shared" si="16"/>
        <v>8313.2646173989815</v>
      </c>
      <c r="L73" s="17">
        <f t="shared" si="17"/>
        <v>549443.85073579359</v>
      </c>
    </row>
    <row r="74" spans="1:12" x14ac:dyDescent="0.2">
      <c r="A74" s="14">
        <f t="shared" si="0"/>
        <v>64</v>
      </c>
      <c r="B74" s="16">
        <f t="shared" si="4"/>
        <v>10708.333333333323</v>
      </c>
      <c r="C74" s="18">
        <f t="shared" si="5"/>
        <v>2374.9999999999895</v>
      </c>
      <c r="D74" s="16">
        <f t="shared" si="6"/>
        <v>8333.3333333333339</v>
      </c>
      <c r="E74" s="17">
        <f t="shared" si="1"/>
        <v>466666.66666666459</v>
      </c>
      <c r="H74" s="14">
        <f t="shared" si="14"/>
        <v>64</v>
      </c>
      <c r="I74" s="21">
        <f t="shared" si="9"/>
        <v>11102.050194164944</v>
      </c>
      <c r="J74" s="29">
        <f t="shared" si="15"/>
        <v>2747.219253678968</v>
      </c>
      <c r="K74" s="21">
        <f t="shared" si="16"/>
        <v>8354.8309404859756</v>
      </c>
      <c r="L74" s="17">
        <f t="shared" si="17"/>
        <v>541089.01979530766</v>
      </c>
    </row>
    <row r="75" spans="1:12" x14ac:dyDescent="0.2">
      <c r="A75" s="14">
        <f t="shared" ref="A75:A130" si="18">A74+1</f>
        <v>65</v>
      </c>
      <c r="B75" s="16">
        <f t="shared" si="4"/>
        <v>10666.666666666657</v>
      </c>
      <c r="C75" s="18">
        <f t="shared" ref="C75:C130" si="19">E74*$B$6</f>
        <v>2333.333333333323</v>
      </c>
      <c r="D75" s="16">
        <f t="shared" si="6"/>
        <v>8333.3333333333339</v>
      </c>
      <c r="E75" s="17">
        <f t="shared" ref="E75:E130" si="20">E74-D75</f>
        <v>458333.33333333128</v>
      </c>
      <c r="H75" s="14">
        <f t="shared" si="14"/>
        <v>65</v>
      </c>
      <c r="I75" s="21">
        <f t="shared" si="9"/>
        <v>11102.050194164944</v>
      </c>
      <c r="J75" s="29">
        <f t="shared" si="15"/>
        <v>2705.4450989765382</v>
      </c>
      <c r="K75" s="21">
        <f t="shared" si="16"/>
        <v>8396.6050951884063</v>
      </c>
      <c r="L75" s="17">
        <f t="shared" si="17"/>
        <v>532692.41470011929</v>
      </c>
    </row>
    <row r="76" spans="1:12" x14ac:dyDescent="0.2">
      <c r="A76" s="14">
        <f t="shared" si="18"/>
        <v>66</v>
      </c>
      <c r="B76" s="16">
        <f t="shared" si="4"/>
        <v>10624.999999999991</v>
      </c>
      <c r="C76" s="18">
        <f t="shared" si="19"/>
        <v>2291.6666666666565</v>
      </c>
      <c r="D76" s="16">
        <f t="shared" si="6"/>
        <v>8333.3333333333339</v>
      </c>
      <c r="E76" s="17">
        <f t="shared" si="20"/>
        <v>449999.99999999796</v>
      </c>
      <c r="H76" s="14">
        <f t="shared" si="14"/>
        <v>66</v>
      </c>
      <c r="I76" s="21">
        <f t="shared" si="9"/>
        <v>11102.050194164944</v>
      </c>
      <c r="J76" s="29">
        <f t="shared" si="15"/>
        <v>2663.4620735005965</v>
      </c>
      <c r="K76" s="21">
        <f t="shared" si="16"/>
        <v>8438.5881206643462</v>
      </c>
      <c r="L76" s="17">
        <f t="shared" si="17"/>
        <v>524253.82657945494</v>
      </c>
    </row>
    <row r="77" spans="1:12" x14ac:dyDescent="0.2">
      <c r="A77" s="14">
        <f t="shared" si="18"/>
        <v>67</v>
      </c>
      <c r="B77" s="16">
        <f t="shared" si="4"/>
        <v>10583.333333333325</v>
      </c>
      <c r="C77" s="18">
        <f t="shared" si="19"/>
        <v>2249.99999999999</v>
      </c>
      <c r="D77" s="16">
        <f t="shared" si="6"/>
        <v>8333.3333333333339</v>
      </c>
      <c r="E77" s="17">
        <f t="shared" si="20"/>
        <v>441666.66666666465</v>
      </c>
      <c r="H77" s="14">
        <f t="shared" si="14"/>
        <v>67</v>
      </c>
      <c r="I77" s="21">
        <f t="shared" ref="I77:I130" si="21">I76</f>
        <v>11102.050194164944</v>
      </c>
      <c r="J77" s="29">
        <f t="shared" si="15"/>
        <v>2621.2691328972746</v>
      </c>
      <c r="K77" s="21">
        <f t="shared" si="16"/>
        <v>8480.7810612676694</v>
      </c>
      <c r="L77" s="17">
        <f t="shared" si="17"/>
        <v>515773.04551818728</v>
      </c>
    </row>
    <row r="78" spans="1:12" x14ac:dyDescent="0.2">
      <c r="A78" s="14">
        <f t="shared" si="18"/>
        <v>68</v>
      </c>
      <c r="B78" s="16">
        <f t="shared" si="4"/>
        <v>10541.666666666657</v>
      </c>
      <c r="C78" s="18">
        <f t="shared" si="19"/>
        <v>2208.3333333333235</v>
      </c>
      <c r="D78" s="16">
        <f t="shared" si="6"/>
        <v>8333.3333333333339</v>
      </c>
      <c r="E78" s="17">
        <f t="shared" si="20"/>
        <v>433333.33333333133</v>
      </c>
      <c r="H78" s="14">
        <f t="shared" si="14"/>
        <v>68</v>
      </c>
      <c r="I78" s="21">
        <f t="shared" si="21"/>
        <v>11102.050194164944</v>
      </c>
      <c r="J78" s="29">
        <f t="shared" si="15"/>
        <v>2578.8652275909367</v>
      </c>
      <c r="K78" s="21">
        <f t="shared" si="16"/>
        <v>8523.1849665740065</v>
      </c>
      <c r="L78" s="17">
        <f t="shared" si="17"/>
        <v>507249.86055161327</v>
      </c>
    </row>
    <row r="79" spans="1:12" x14ac:dyDescent="0.2">
      <c r="A79" s="14">
        <f t="shared" si="18"/>
        <v>69</v>
      </c>
      <c r="B79" s="16">
        <f t="shared" si="4"/>
        <v>10499.999999999991</v>
      </c>
      <c r="C79" s="18">
        <f t="shared" si="19"/>
        <v>2166.6666666666565</v>
      </c>
      <c r="D79" s="16">
        <f t="shared" si="6"/>
        <v>8333.3333333333339</v>
      </c>
      <c r="E79" s="17">
        <f t="shared" si="20"/>
        <v>424999.99999999802</v>
      </c>
      <c r="H79" s="14">
        <f t="shared" si="14"/>
        <v>69</v>
      </c>
      <c r="I79" s="21">
        <f t="shared" si="21"/>
        <v>11102.050194164944</v>
      </c>
      <c r="J79" s="29">
        <f t="shared" si="15"/>
        <v>2536.2493027580663</v>
      </c>
      <c r="K79" s="21">
        <f t="shared" si="16"/>
        <v>8565.8008914068778</v>
      </c>
      <c r="L79" s="17">
        <f t="shared" si="17"/>
        <v>498684.05966020637</v>
      </c>
    </row>
    <row r="80" spans="1:12" x14ac:dyDescent="0.2">
      <c r="A80" s="14">
        <f t="shared" si="18"/>
        <v>70</v>
      </c>
      <c r="B80" s="16">
        <f t="shared" si="4"/>
        <v>10458.333333333325</v>
      </c>
      <c r="C80" s="18">
        <f t="shared" si="19"/>
        <v>2124.99999999999</v>
      </c>
      <c r="D80" s="16">
        <f t="shared" si="6"/>
        <v>8333.3333333333339</v>
      </c>
      <c r="E80" s="17">
        <f t="shared" si="20"/>
        <v>416666.66666666471</v>
      </c>
      <c r="H80" s="14">
        <f t="shared" si="14"/>
        <v>70</v>
      </c>
      <c r="I80" s="21">
        <f t="shared" si="21"/>
        <v>11102.050194164944</v>
      </c>
      <c r="J80" s="29">
        <f t="shared" si="15"/>
        <v>2493.4202983010318</v>
      </c>
      <c r="K80" s="21">
        <f t="shared" si="16"/>
        <v>8608.6298958639127</v>
      </c>
      <c r="L80" s="17">
        <f t="shared" si="17"/>
        <v>490075.42976434244</v>
      </c>
    </row>
    <row r="81" spans="1:12" x14ac:dyDescent="0.2">
      <c r="A81" s="14">
        <f t="shared" si="18"/>
        <v>71</v>
      </c>
      <c r="B81" s="16">
        <f t="shared" si="4"/>
        <v>10416.666666666657</v>
      </c>
      <c r="C81" s="18">
        <f t="shared" si="19"/>
        <v>2083.3333333333235</v>
      </c>
      <c r="D81" s="16">
        <f t="shared" si="6"/>
        <v>8333.3333333333339</v>
      </c>
      <c r="E81" s="17">
        <f t="shared" si="20"/>
        <v>408333.33333333139</v>
      </c>
      <c r="H81" s="14">
        <f t="shared" si="14"/>
        <v>71</v>
      </c>
      <c r="I81" s="21">
        <f t="shared" si="21"/>
        <v>11102.050194164944</v>
      </c>
      <c r="J81" s="29">
        <f t="shared" si="15"/>
        <v>2450.3771488217121</v>
      </c>
      <c r="K81" s="21">
        <f t="shared" si="16"/>
        <v>8651.6730453432319</v>
      </c>
      <c r="L81" s="17">
        <f t="shared" si="17"/>
        <v>481423.75671899918</v>
      </c>
    </row>
    <row r="82" spans="1:12" x14ac:dyDescent="0.2">
      <c r="A82" s="14">
        <f t="shared" si="18"/>
        <v>72</v>
      </c>
      <c r="B82" s="16">
        <f t="shared" si="4"/>
        <v>10374.999999999991</v>
      </c>
      <c r="C82" s="18">
        <f t="shared" si="19"/>
        <v>2041.666666666657</v>
      </c>
      <c r="D82" s="16">
        <f t="shared" si="6"/>
        <v>8333.3333333333339</v>
      </c>
      <c r="E82" s="17">
        <f t="shared" si="20"/>
        <v>399999.99999999808</v>
      </c>
      <c r="H82" s="14">
        <f t="shared" si="14"/>
        <v>72</v>
      </c>
      <c r="I82" s="21">
        <f t="shared" si="21"/>
        <v>11102.050194164944</v>
      </c>
      <c r="J82" s="29">
        <f t="shared" si="15"/>
        <v>2407.1187835949959</v>
      </c>
      <c r="K82" s="21">
        <f t="shared" si="16"/>
        <v>8694.9314105699486</v>
      </c>
      <c r="L82" s="17">
        <f t="shared" si="17"/>
        <v>472728.82530842925</v>
      </c>
    </row>
    <row r="83" spans="1:12" x14ac:dyDescent="0.2">
      <c r="A83" s="14">
        <f t="shared" si="18"/>
        <v>73</v>
      </c>
      <c r="B83" s="16">
        <f t="shared" si="4"/>
        <v>10333.333333333325</v>
      </c>
      <c r="C83" s="18">
        <f t="shared" si="19"/>
        <v>1999.9999999999905</v>
      </c>
      <c r="D83" s="16">
        <f t="shared" si="6"/>
        <v>8333.3333333333339</v>
      </c>
      <c r="E83" s="17">
        <f t="shared" si="20"/>
        <v>391666.66666666477</v>
      </c>
      <c r="H83" s="14">
        <f t="shared" si="14"/>
        <v>73</v>
      </c>
      <c r="I83" s="21">
        <f t="shared" si="21"/>
        <v>11102.050194164944</v>
      </c>
      <c r="J83" s="29">
        <f t="shared" si="15"/>
        <v>2363.6441265421463</v>
      </c>
      <c r="K83" s="21">
        <f t="shared" si="16"/>
        <v>8738.4060676227964</v>
      </c>
      <c r="L83" s="17">
        <f t="shared" si="17"/>
        <v>463990.41924080648</v>
      </c>
    </row>
    <row r="84" spans="1:12" x14ac:dyDescent="0.2">
      <c r="A84" s="14">
        <f t="shared" si="18"/>
        <v>74</v>
      </c>
      <c r="B84" s="16">
        <f t="shared" si="4"/>
        <v>10291.666666666657</v>
      </c>
      <c r="C84" s="18">
        <f t="shared" si="19"/>
        <v>1958.3333333333239</v>
      </c>
      <c r="D84" s="16">
        <f t="shared" si="6"/>
        <v>8333.3333333333339</v>
      </c>
      <c r="E84" s="17">
        <f t="shared" si="20"/>
        <v>383333.33333333145</v>
      </c>
      <c r="H84" s="14">
        <f t="shared" si="14"/>
        <v>74</v>
      </c>
      <c r="I84" s="21">
        <f t="shared" si="21"/>
        <v>11102.050194164944</v>
      </c>
      <c r="J84" s="29">
        <f t="shared" si="15"/>
        <v>2319.9520962040324</v>
      </c>
      <c r="K84" s="21">
        <f t="shared" si="16"/>
        <v>8782.0980979609121</v>
      </c>
      <c r="L84" s="17">
        <f t="shared" si="17"/>
        <v>455208.32114284555</v>
      </c>
    </row>
    <row r="85" spans="1:12" x14ac:dyDescent="0.2">
      <c r="A85" s="14">
        <f t="shared" si="18"/>
        <v>75</v>
      </c>
      <c r="B85" s="16">
        <f t="shared" si="4"/>
        <v>10249.999999999991</v>
      </c>
      <c r="C85" s="18">
        <f t="shared" si="19"/>
        <v>1916.6666666666572</v>
      </c>
      <c r="D85" s="16">
        <f t="shared" si="6"/>
        <v>8333.3333333333339</v>
      </c>
      <c r="E85" s="17">
        <f t="shared" si="20"/>
        <v>374999.99999999814</v>
      </c>
      <c r="H85" s="14">
        <f t="shared" si="14"/>
        <v>75</v>
      </c>
      <c r="I85" s="21">
        <f t="shared" si="21"/>
        <v>11102.050194164944</v>
      </c>
      <c r="J85" s="29">
        <f t="shared" si="15"/>
        <v>2276.0416057142279</v>
      </c>
      <c r="K85" s="21">
        <f t="shared" si="16"/>
        <v>8826.0085884507153</v>
      </c>
      <c r="L85" s="17">
        <f t="shared" si="17"/>
        <v>446382.31255439483</v>
      </c>
    </row>
    <row r="86" spans="1:12" x14ac:dyDescent="0.2">
      <c r="A86" s="14">
        <f t="shared" si="18"/>
        <v>76</v>
      </c>
      <c r="B86" s="16">
        <f t="shared" si="4"/>
        <v>10208.333333333325</v>
      </c>
      <c r="C86" s="18">
        <f t="shared" si="19"/>
        <v>1874.9999999999907</v>
      </c>
      <c r="D86" s="16">
        <f t="shared" si="6"/>
        <v>8333.3333333333339</v>
      </c>
      <c r="E86" s="17">
        <f t="shared" si="20"/>
        <v>366666.66666666482</v>
      </c>
      <c r="H86" s="14">
        <f t="shared" si="14"/>
        <v>76</v>
      </c>
      <c r="I86" s="21">
        <f t="shared" si="21"/>
        <v>11102.050194164944</v>
      </c>
      <c r="J86" s="29">
        <f t="shared" si="15"/>
        <v>2231.9115627719743</v>
      </c>
      <c r="K86" s="21">
        <f t="shared" si="16"/>
        <v>8870.1386313929688</v>
      </c>
      <c r="L86" s="17">
        <f t="shared" si="17"/>
        <v>437512.17392300186</v>
      </c>
    </row>
    <row r="87" spans="1:12" x14ac:dyDescent="0.2">
      <c r="A87" s="14">
        <f t="shared" si="18"/>
        <v>77</v>
      </c>
      <c r="B87" s="16">
        <f t="shared" si="4"/>
        <v>10166.666666666659</v>
      </c>
      <c r="C87" s="18">
        <f t="shared" si="19"/>
        <v>1833.3333333333242</v>
      </c>
      <c r="D87" s="16">
        <f t="shared" si="6"/>
        <v>8333.3333333333339</v>
      </c>
      <c r="E87" s="17">
        <f t="shared" si="20"/>
        <v>358333.33333333151</v>
      </c>
      <c r="H87" s="14">
        <f t="shared" si="14"/>
        <v>77</v>
      </c>
      <c r="I87" s="21">
        <f t="shared" si="21"/>
        <v>11102.050194164944</v>
      </c>
      <c r="J87" s="29">
        <f t="shared" si="15"/>
        <v>2187.5608696150093</v>
      </c>
      <c r="K87" s="21">
        <f t="shared" si="16"/>
        <v>8914.4893245499334</v>
      </c>
      <c r="L87" s="17">
        <f t="shared" si="17"/>
        <v>428597.68459845195</v>
      </c>
    </row>
    <row r="88" spans="1:12" x14ac:dyDescent="0.2">
      <c r="A88" s="14">
        <f t="shared" si="18"/>
        <v>78</v>
      </c>
      <c r="B88" s="16">
        <f t="shared" si="4"/>
        <v>10124.999999999991</v>
      </c>
      <c r="C88" s="18">
        <f t="shared" si="19"/>
        <v>1791.6666666666576</v>
      </c>
      <c r="D88" s="16">
        <f t="shared" si="6"/>
        <v>8333.3333333333339</v>
      </c>
      <c r="E88" s="17">
        <f t="shared" si="20"/>
        <v>349999.9999999982</v>
      </c>
      <c r="H88" s="14">
        <f t="shared" si="14"/>
        <v>78</v>
      </c>
      <c r="I88" s="21">
        <f t="shared" si="21"/>
        <v>11102.050194164944</v>
      </c>
      <c r="J88" s="29">
        <f t="shared" si="15"/>
        <v>2142.98842299226</v>
      </c>
      <c r="K88" s="21">
        <f t="shared" si="16"/>
        <v>8959.0617711726845</v>
      </c>
      <c r="L88" s="17">
        <f t="shared" si="17"/>
        <v>419638.62282727927</v>
      </c>
    </row>
    <row r="89" spans="1:12" x14ac:dyDescent="0.2">
      <c r="A89" s="14">
        <f t="shared" si="18"/>
        <v>79</v>
      </c>
      <c r="B89" s="16">
        <f t="shared" si="4"/>
        <v>10083.333333333325</v>
      </c>
      <c r="C89" s="18">
        <f t="shared" si="19"/>
        <v>1749.9999999999909</v>
      </c>
      <c r="D89" s="16">
        <f t="shared" si="6"/>
        <v>8333.3333333333339</v>
      </c>
      <c r="E89" s="17">
        <f t="shared" si="20"/>
        <v>341666.66666666488</v>
      </c>
      <c r="H89" s="14">
        <f t="shared" si="14"/>
        <v>79</v>
      </c>
      <c r="I89" s="21">
        <f t="shared" si="21"/>
        <v>11102.050194164944</v>
      </c>
      <c r="J89" s="29">
        <f t="shared" si="15"/>
        <v>2098.1931141363962</v>
      </c>
      <c r="K89" s="21">
        <f t="shared" si="16"/>
        <v>9003.857080028547</v>
      </c>
      <c r="L89" s="17">
        <f t="shared" si="17"/>
        <v>410634.7657472507</v>
      </c>
    </row>
    <row r="90" spans="1:12" x14ac:dyDescent="0.2">
      <c r="A90" s="14">
        <f t="shared" si="18"/>
        <v>80</v>
      </c>
      <c r="B90" s="16">
        <f t="shared" si="4"/>
        <v>10041.666666666659</v>
      </c>
      <c r="C90" s="18">
        <f t="shared" si="19"/>
        <v>1708.3333333333244</v>
      </c>
      <c r="D90" s="16">
        <f t="shared" si="6"/>
        <v>8333.3333333333339</v>
      </c>
      <c r="E90" s="17">
        <f t="shared" si="20"/>
        <v>333333.33333333157</v>
      </c>
      <c r="H90" s="14">
        <f t="shared" si="14"/>
        <v>80</v>
      </c>
      <c r="I90" s="21">
        <f t="shared" si="21"/>
        <v>11102.050194164944</v>
      </c>
      <c r="J90" s="29">
        <f t="shared" si="15"/>
        <v>2053.1738287362537</v>
      </c>
      <c r="K90" s="21">
        <f t="shared" si="16"/>
        <v>9048.8763654286904</v>
      </c>
      <c r="L90" s="17">
        <f t="shared" si="17"/>
        <v>401585.88938182202</v>
      </c>
    </row>
    <row r="91" spans="1:12" x14ac:dyDescent="0.2">
      <c r="A91" s="14">
        <f t="shared" si="18"/>
        <v>81</v>
      </c>
      <c r="B91" s="16">
        <f t="shared" si="4"/>
        <v>9999.9999999999927</v>
      </c>
      <c r="C91" s="18">
        <f t="shared" si="19"/>
        <v>1666.6666666666579</v>
      </c>
      <c r="D91" s="16">
        <f t="shared" si="6"/>
        <v>8333.3333333333339</v>
      </c>
      <c r="E91" s="17">
        <f t="shared" si="20"/>
        <v>324999.99999999825</v>
      </c>
      <c r="H91" s="14">
        <f t="shared" si="14"/>
        <v>81</v>
      </c>
      <c r="I91" s="21">
        <f t="shared" si="21"/>
        <v>11102.050194164944</v>
      </c>
      <c r="J91" s="29">
        <f t="shared" si="15"/>
        <v>2007.9294469091101</v>
      </c>
      <c r="K91" s="21">
        <f t="shared" si="16"/>
        <v>9094.1207472558344</v>
      </c>
      <c r="L91" s="17">
        <f t="shared" si="17"/>
        <v>392491.76863456616</v>
      </c>
    </row>
    <row r="92" spans="1:12" x14ac:dyDescent="0.2">
      <c r="A92" s="14">
        <f t="shared" si="18"/>
        <v>82</v>
      </c>
      <c r="B92" s="16">
        <f t="shared" si="4"/>
        <v>9958.3333333333248</v>
      </c>
      <c r="C92" s="18">
        <f t="shared" si="19"/>
        <v>1624.9999999999914</v>
      </c>
      <c r="D92" s="16">
        <f t="shared" si="6"/>
        <v>8333.3333333333339</v>
      </c>
      <c r="E92" s="17">
        <f t="shared" si="20"/>
        <v>316666.66666666494</v>
      </c>
      <c r="H92" s="14">
        <f t="shared" si="14"/>
        <v>82</v>
      </c>
      <c r="I92" s="21">
        <f t="shared" si="21"/>
        <v>11102.050194164944</v>
      </c>
      <c r="J92" s="29">
        <f t="shared" si="15"/>
        <v>1962.4588431728309</v>
      </c>
      <c r="K92" s="21">
        <f t="shared" si="16"/>
        <v>9139.591350992112</v>
      </c>
      <c r="L92" s="17">
        <f t="shared" si="17"/>
        <v>383352.17728357407</v>
      </c>
    </row>
    <row r="93" spans="1:12" x14ac:dyDescent="0.2">
      <c r="A93" s="14">
        <f t="shared" si="18"/>
        <v>83</v>
      </c>
      <c r="B93" s="16">
        <f t="shared" si="4"/>
        <v>9916.6666666666588</v>
      </c>
      <c r="C93" s="18">
        <f t="shared" si="19"/>
        <v>1583.3333333333248</v>
      </c>
      <c r="D93" s="16">
        <f t="shared" si="6"/>
        <v>8333.3333333333339</v>
      </c>
      <c r="E93" s="17">
        <f t="shared" si="20"/>
        <v>308333.33333333163</v>
      </c>
      <c r="H93" s="14">
        <f t="shared" si="14"/>
        <v>83</v>
      </c>
      <c r="I93" s="21">
        <f t="shared" si="21"/>
        <v>11102.050194164944</v>
      </c>
      <c r="J93" s="29">
        <f t="shared" si="15"/>
        <v>1916.7608864178703</v>
      </c>
      <c r="K93" s="21">
        <f t="shared" si="16"/>
        <v>9185.2893077470726</v>
      </c>
      <c r="L93" s="17">
        <f t="shared" si="17"/>
        <v>374166.88797582698</v>
      </c>
    </row>
    <row r="94" spans="1:12" x14ac:dyDescent="0.2">
      <c r="A94" s="14">
        <f t="shared" si="18"/>
        <v>84</v>
      </c>
      <c r="B94" s="16">
        <f t="shared" si="4"/>
        <v>9874.9999999999927</v>
      </c>
      <c r="C94" s="18">
        <f t="shared" si="19"/>
        <v>1541.6666666666581</v>
      </c>
      <c r="D94" s="16">
        <f t="shared" si="6"/>
        <v>8333.3333333333339</v>
      </c>
      <c r="E94" s="17">
        <f t="shared" si="20"/>
        <v>299999.99999999831</v>
      </c>
      <c r="H94" s="14">
        <f t="shared" si="14"/>
        <v>84</v>
      </c>
      <c r="I94" s="21">
        <f t="shared" si="21"/>
        <v>11102.050194164944</v>
      </c>
      <c r="J94" s="29">
        <f t="shared" si="15"/>
        <v>1870.8344398791348</v>
      </c>
      <c r="K94" s="21">
        <f t="shared" si="16"/>
        <v>9231.2157542858095</v>
      </c>
      <c r="L94" s="17">
        <f t="shared" si="17"/>
        <v>364935.67222154117</v>
      </c>
    </row>
    <row r="95" spans="1:12" x14ac:dyDescent="0.2">
      <c r="A95" s="14">
        <f t="shared" si="18"/>
        <v>85</v>
      </c>
      <c r="B95" s="16">
        <f t="shared" si="4"/>
        <v>9833.3333333333248</v>
      </c>
      <c r="C95" s="18">
        <f t="shared" si="19"/>
        <v>1499.9999999999916</v>
      </c>
      <c r="D95" s="16">
        <f t="shared" si="6"/>
        <v>8333.3333333333339</v>
      </c>
      <c r="E95" s="17">
        <f t="shared" si="20"/>
        <v>291666.666666665</v>
      </c>
      <c r="H95" s="14">
        <f t="shared" si="14"/>
        <v>85</v>
      </c>
      <c r="I95" s="21">
        <f t="shared" si="21"/>
        <v>11102.050194164944</v>
      </c>
      <c r="J95" s="29">
        <f t="shared" si="15"/>
        <v>1824.678361107706</v>
      </c>
      <c r="K95" s="21">
        <f t="shared" si="16"/>
        <v>9277.3718330572374</v>
      </c>
      <c r="L95" s="17">
        <f t="shared" si="17"/>
        <v>355658.30038848391</v>
      </c>
    </row>
    <row r="96" spans="1:12" x14ac:dyDescent="0.2">
      <c r="A96" s="14">
        <f t="shared" si="18"/>
        <v>86</v>
      </c>
      <c r="B96" s="16">
        <f t="shared" si="4"/>
        <v>9791.6666666666588</v>
      </c>
      <c r="C96" s="18">
        <f t="shared" si="19"/>
        <v>1458.3333333333251</v>
      </c>
      <c r="D96" s="16">
        <f t="shared" si="6"/>
        <v>8333.3333333333339</v>
      </c>
      <c r="E96" s="17">
        <f t="shared" si="20"/>
        <v>283333.33333333168</v>
      </c>
      <c r="H96" s="14">
        <f t="shared" si="14"/>
        <v>86</v>
      </c>
      <c r="I96" s="21">
        <f t="shared" si="21"/>
        <v>11102.050194164944</v>
      </c>
      <c r="J96" s="29">
        <f t="shared" si="15"/>
        <v>1778.2915019424197</v>
      </c>
      <c r="K96" s="21">
        <f t="shared" si="16"/>
        <v>9323.7586922225237</v>
      </c>
      <c r="L96" s="17">
        <f t="shared" si="17"/>
        <v>346334.54169626138</v>
      </c>
    </row>
    <row r="97" spans="1:12" x14ac:dyDescent="0.2">
      <c r="A97" s="14">
        <f t="shared" si="18"/>
        <v>87</v>
      </c>
      <c r="B97" s="16">
        <f t="shared" si="4"/>
        <v>9749.9999999999927</v>
      </c>
      <c r="C97" s="18">
        <f t="shared" si="19"/>
        <v>1416.6666666666586</v>
      </c>
      <c r="D97" s="16">
        <f t="shared" si="6"/>
        <v>8333.3333333333339</v>
      </c>
      <c r="E97" s="17">
        <f t="shared" si="20"/>
        <v>274999.99999999837</v>
      </c>
      <c r="H97" s="14">
        <f t="shared" si="14"/>
        <v>87</v>
      </c>
      <c r="I97" s="21">
        <f t="shared" si="21"/>
        <v>11102.050194164944</v>
      </c>
      <c r="J97" s="29">
        <f t="shared" si="15"/>
        <v>1731.6727084813069</v>
      </c>
      <c r="K97" s="21">
        <f t="shared" si="16"/>
        <v>9370.3774856836371</v>
      </c>
      <c r="L97" s="17">
        <f t="shared" si="17"/>
        <v>336964.16421057773</v>
      </c>
    </row>
    <row r="98" spans="1:12" x14ac:dyDescent="0.2">
      <c r="A98" s="14">
        <f t="shared" si="18"/>
        <v>88</v>
      </c>
      <c r="B98" s="16">
        <f t="shared" si="4"/>
        <v>9708.3333333333248</v>
      </c>
      <c r="C98" s="18">
        <f t="shared" si="19"/>
        <v>1374.9999999999918</v>
      </c>
      <c r="D98" s="16">
        <f t="shared" si="6"/>
        <v>8333.3333333333339</v>
      </c>
      <c r="E98" s="17">
        <f t="shared" si="20"/>
        <v>266666.66666666506</v>
      </c>
      <c r="H98" s="14">
        <f t="shared" si="14"/>
        <v>88</v>
      </c>
      <c r="I98" s="21">
        <f t="shared" si="21"/>
        <v>11102.050194164944</v>
      </c>
      <c r="J98" s="29">
        <f t="shared" si="15"/>
        <v>1684.8208210528887</v>
      </c>
      <c r="K98" s="21">
        <f t="shared" si="16"/>
        <v>9417.2293731120553</v>
      </c>
      <c r="L98" s="17">
        <f t="shared" si="17"/>
        <v>327546.9348374657</v>
      </c>
    </row>
    <row r="99" spans="1:12" x14ac:dyDescent="0.2">
      <c r="A99" s="14">
        <f t="shared" si="18"/>
        <v>89</v>
      </c>
      <c r="B99" s="16">
        <f t="shared" si="4"/>
        <v>9666.6666666666588</v>
      </c>
      <c r="C99" s="18">
        <f t="shared" si="19"/>
        <v>1333.3333333333253</v>
      </c>
      <c r="D99" s="16">
        <f t="shared" si="6"/>
        <v>8333.3333333333339</v>
      </c>
      <c r="E99" s="17">
        <f t="shared" si="20"/>
        <v>258333.33333333171</v>
      </c>
      <c r="H99" s="14">
        <f t="shared" si="14"/>
        <v>89</v>
      </c>
      <c r="I99" s="21">
        <f t="shared" si="21"/>
        <v>11102.050194164944</v>
      </c>
      <c r="J99" s="29">
        <f t="shared" si="15"/>
        <v>1637.7346741873284</v>
      </c>
      <c r="K99" s="21">
        <f t="shared" si="16"/>
        <v>9464.3155199776156</v>
      </c>
      <c r="L99" s="17">
        <f t="shared" si="17"/>
        <v>318082.6193174881</v>
      </c>
    </row>
    <row r="100" spans="1:12" x14ac:dyDescent="0.2">
      <c r="A100" s="14">
        <f t="shared" si="18"/>
        <v>90</v>
      </c>
      <c r="B100" s="16">
        <f t="shared" si="4"/>
        <v>9624.9999999999927</v>
      </c>
      <c r="C100" s="18">
        <f t="shared" si="19"/>
        <v>1291.6666666666586</v>
      </c>
      <c r="D100" s="16">
        <f t="shared" si="6"/>
        <v>8333.3333333333339</v>
      </c>
      <c r="E100" s="17">
        <f t="shared" si="20"/>
        <v>249999.99999999837</v>
      </c>
      <c r="H100" s="14">
        <f t="shared" si="14"/>
        <v>90</v>
      </c>
      <c r="I100" s="21">
        <f t="shared" si="21"/>
        <v>11102.050194164944</v>
      </c>
      <c r="J100" s="29">
        <f t="shared" si="15"/>
        <v>1590.4130965874406</v>
      </c>
      <c r="K100" s="21">
        <f t="shared" si="16"/>
        <v>9511.6370975775026</v>
      </c>
      <c r="L100" s="17">
        <f t="shared" si="17"/>
        <v>308570.9822199106</v>
      </c>
    </row>
    <row r="101" spans="1:12" x14ac:dyDescent="0.2">
      <c r="A101" s="14">
        <f t="shared" si="18"/>
        <v>91</v>
      </c>
      <c r="B101" s="16">
        <f t="shared" si="4"/>
        <v>9583.3333333333248</v>
      </c>
      <c r="C101" s="18">
        <f t="shared" si="19"/>
        <v>1249.9999999999918</v>
      </c>
      <c r="D101" s="16">
        <f t="shared" si="6"/>
        <v>8333.3333333333339</v>
      </c>
      <c r="E101" s="17">
        <f t="shared" si="20"/>
        <v>241666.66666666503</v>
      </c>
      <c r="H101" s="14">
        <f t="shared" si="14"/>
        <v>91</v>
      </c>
      <c r="I101" s="21">
        <f t="shared" si="21"/>
        <v>11102.050194164944</v>
      </c>
      <c r="J101" s="29">
        <f t="shared" si="15"/>
        <v>1542.854911099553</v>
      </c>
      <c r="K101" s="21">
        <f t="shared" si="16"/>
        <v>9559.19528306539</v>
      </c>
      <c r="L101" s="17">
        <f t="shared" si="17"/>
        <v>299011.78693684522</v>
      </c>
    </row>
    <row r="102" spans="1:12" x14ac:dyDescent="0.2">
      <c r="A102" s="14">
        <f t="shared" si="18"/>
        <v>92</v>
      </c>
      <c r="B102" s="16">
        <f t="shared" si="4"/>
        <v>9541.6666666666588</v>
      </c>
      <c r="C102" s="18">
        <f t="shared" si="19"/>
        <v>1208.3333333333251</v>
      </c>
      <c r="D102" s="16">
        <f t="shared" si="6"/>
        <v>8333.3333333333339</v>
      </c>
      <c r="E102" s="17">
        <f t="shared" si="20"/>
        <v>233333.33333333168</v>
      </c>
      <c r="H102" s="14">
        <f t="shared" si="14"/>
        <v>92</v>
      </c>
      <c r="I102" s="21">
        <f t="shared" si="21"/>
        <v>11102.050194164944</v>
      </c>
      <c r="J102" s="29">
        <f t="shared" si="15"/>
        <v>1495.0589346842262</v>
      </c>
      <c r="K102" s="21">
        <f t="shared" si="16"/>
        <v>9606.9912594807174</v>
      </c>
      <c r="L102" s="17">
        <f t="shared" si="17"/>
        <v>289404.79567736451</v>
      </c>
    </row>
    <row r="103" spans="1:12" x14ac:dyDescent="0.2">
      <c r="A103" s="14">
        <f t="shared" si="18"/>
        <v>93</v>
      </c>
      <c r="B103" s="16">
        <f t="shared" si="4"/>
        <v>9499.9999999999927</v>
      </c>
      <c r="C103" s="18">
        <f t="shared" si="19"/>
        <v>1166.6666666666586</v>
      </c>
      <c r="D103" s="16">
        <f t="shared" si="6"/>
        <v>8333.3333333333339</v>
      </c>
      <c r="E103" s="17">
        <f t="shared" si="20"/>
        <v>224999.99999999834</v>
      </c>
      <c r="H103" s="14">
        <f t="shared" si="14"/>
        <v>93</v>
      </c>
      <c r="I103" s="21">
        <f t="shared" si="21"/>
        <v>11102.050194164944</v>
      </c>
      <c r="J103" s="29">
        <f t="shared" si="15"/>
        <v>1447.0239783868226</v>
      </c>
      <c r="K103" s="21">
        <f t="shared" si="16"/>
        <v>9655.0262157781217</v>
      </c>
      <c r="L103" s="17">
        <f t="shared" si="17"/>
        <v>279749.76946158637</v>
      </c>
    </row>
    <row r="104" spans="1:12" x14ac:dyDescent="0.2">
      <c r="A104" s="14">
        <f t="shared" si="18"/>
        <v>94</v>
      </c>
      <c r="B104" s="16">
        <f t="shared" si="4"/>
        <v>9458.3333333333248</v>
      </c>
      <c r="C104" s="18">
        <f t="shared" si="19"/>
        <v>1124.9999999999918</v>
      </c>
      <c r="D104" s="16">
        <f t="shared" si="6"/>
        <v>8333.3333333333339</v>
      </c>
      <c r="E104" s="17">
        <f t="shared" si="20"/>
        <v>216666.666666665</v>
      </c>
      <c r="H104" s="14">
        <f t="shared" si="14"/>
        <v>94</v>
      </c>
      <c r="I104" s="21">
        <f t="shared" si="21"/>
        <v>11102.050194164944</v>
      </c>
      <c r="J104" s="29">
        <f t="shared" si="15"/>
        <v>1398.7488473079318</v>
      </c>
      <c r="K104" s="21">
        <f t="shared" si="16"/>
        <v>9703.3013468570116</v>
      </c>
      <c r="L104" s="17">
        <f t="shared" si="17"/>
        <v>270046.46811472939</v>
      </c>
    </row>
    <row r="105" spans="1:12" x14ac:dyDescent="0.2">
      <c r="A105" s="14">
        <f t="shared" si="18"/>
        <v>95</v>
      </c>
      <c r="B105" s="16">
        <f t="shared" si="4"/>
        <v>9416.6666666666588</v>
      </c>
      <c r="C105" s="18">
        <f t="shared" si="19"/>
        <v>1083.3333333333251</v>
      </c>
      <c r="D105" s="16">
        <f t="shared" si="6"/>
        <v>8333.3333333333339</v>
      </c>
      <c r="E105" s="17">
        <f t="shared" si="20"/>
        <v>208333.33333333166</v>
      </c>
      <c r="H105" s="14">
        <f t="shared" si="14"/>
        <v>95</v>
      </c>
      <c r="I105" s="21">
        <f t="shared" si="21"/>
        <v>11102.050194164944</v>
      </c>
      <c r="J105" s="29">
        <f t="shared" si="15"/>
        <v>1350.232340573647</v>
      </c>
      <c r="K105" s="21">
        <f t="shared" si="16"/>
        <v>9751.8178535912957</v>
      </c>
      <c r="L105" s="17">
        <f t="shared" si="17"/>
        <v>260294.6502611381</v>
      </c>
    </row>
    <row r="106" spans="1:12" x14ac:dyDescent="0.2">
      <c r="A106" s="14">
        <f t="shared" si="18"/>
        <v>96</v>
      </c>
      <c r="B106" s="16">
        <f t="shared" si="4"/>
        <v>9374.9999999999927</v>
      </c>
      <c r="C106" s="18">
        <f t="shared" si="19"/>
        <v>1041.6666666666583</v>
      </c>
      <c r="D106" s="16">
        <f t="shared" si="6"/>
        <v>8333.3333333333339</v>
      </c>
      <c r="E106" s="17">
        <f t="shared" si="20"/>
        <v>199999.99999999831</v>
      </c>
      <c r="H106" s="14">
        <f t="shared" si="14"/>
        <v>96</v>
      </c>
      <c r="I106" s="21">
        <f t="shared" si="21"/>
        <v>11102.050194164944</v>
      </c>
      <c r="J106" s="29">
        <f t="shared" si="15"/>
        <v>1301.4732513056906</v>
      </c>
      <c r="K106" s="21">
        <f t="shared" si="16"/>
        <v>9800.5769428592539</v>
      </c>
      <c r="L106" s="17">
        <f t="shared" si="17"/>
        <v>250494.07331827885</v>
      </c>
    </row>
    <row r="107" spans="1:12" x14ac:dyDescent="0.2">
      <c r="A107" s="14">
        <f t="shared" si="18"/>
        <v>97</v>
      </c>
      <c r="B107" s="16">
        <f t="shared" si="4"/>
        <v>9333.3333333333248</v>
      </c>
      <c r="C107" s="18">
        <f t="shared" si="19"/>
        <v>999.99999999999159</v>
      </c>
      <c r="D107" s="16">
        <f t="shared" si="6"/>
        <v>8333.3333333333339</v>
      </c>
      <c r="E107" s="17">
        <f t="shared" si="20"/>
        <v>191666.66666666497</v>
      </c>
      <c r="H107" s="14">
        <f t="shared" si="14"/>
        <v>97</v>
      </c>
      <c r="I107" s="21">
        <f t="shared" si="21"/>
        <v>11102.050194164944</v>
      </c>
      <c r="J107" s="29">
        <f t="shared" si="15"/>
        <v>1252.4703665913944</v>
      </c>
      <c r="K107" s="21">
        <f t="shared" si="16"/>
        <v>9849.5798275735488</v>
      </c>
      <c r="L107" s="17">
        <f t="shared" si="17"/>
        <v>240644.4934907053</v>
      </c>
    </row>
    <row r="108" spans="1:12" x14ac:dyDescent="0.2">
      <c r="A108" s="14">
        <f t="shared" si="18"/>
        <v>98</v>
      </c>
      <c r="B108" s="16">
        <f t="shared" si="4"/>
        <v>9291.6666666666588</v>
      </c>
      <c r="C108" s="18">
        <f t="shared" si="19"/>
        <v>958.33333333332484</v>
      </c>
      <c r="D108" s="16">
        <f t="shared" si="6"/>
        <v>8333.3333333333339</v>
      </c>
      <c r="E108" s="17">
        <f t="shared" si="20"/>
        <v>183333.33333333163</v>
      </c>
      <c r="H108" s="14">
        <f t="shared" si="14"/>
        <v>98</v>
      </c>
      <c r="I108" s="21">
        <f t="shared" si="21"/>
        <v>11102.050194164944</v>
      </c>
      <c r="J108" s="29">
        <f t="shared" si="15"/>
        <v>1203.2224674535264</v>
      </c>
      <c r="K108" s="21">
        <f t="shared" si="16"/>
        <v>9898.8277267114172</v>
      </c>
      <c r="L108" s="17">
        <f t="shared" si="17"/>
        <v>230745.66576399386</v>
      </c>
    </row>
    <row r="109" spans="1:12" x14ac:dyDescent="0.2">
      <c r="A109" s="14">
        <f t="shared" si="18"/>
        <v>99</v>
      </c>
      <c r="B109" s="16">
        <f t="shared" si="4"/>
        <v>9249.9999999999927</v>
      </c>
      <c r="C109" s="18">
        <f t="shared" si="19"/>
        <v>916.6666666666581</v>
      </c>
      <c r="D109" s="16">
        <f t="shared" si="6"/>
        <v>8333.3333333333339</v>
      </c>
      <c r="E109" s="17">
        <f t="shared" si="20"/>
        <v>174999.99999999828</v>
      </c>
      <c r="H109" s="14">
        <f t="shared" si="14"/>
        <v>99</v>
      </c>
      <c r="I109" s="21">
        <f t="shared" si="21"/>
        <v>11102.050194164944</v>
      </c>
      <c r="J109" s="29">
        <f t="shared" si="15"/>
        <v>1153.7283288199694</v>
      </c>
      <c r="K109" s="21">
        <f t="shared" si="16"/>
        <v>9948.3218653449749</v>
      </c>
      <c r="L109" s="17">
        <f t="shared" si="17"/>
        <v>220797.34389864889</v>
      </c>
    </row>
    <row r="110" spans="1:12" x14ac:dyDescent="0.2">
      <c r="A110" s="14">
        <f t="shared" si="18"/>
        <v>100</v>
      </c>
      <c r="B110" s="16">
        <f t="shared" si="4"/>
        <v>9208.3333333333248</v>
      </c>
      <c r="C110" s="18">
        <f t="shared" si="19"/>
        <v>874.99999999999147</v>
      </c>
      <c r="D110" s="16">
        <f t="shared" si="6"/>
        <v>8333.3333333333339</v>
      </c>
      <c r="E110" s="17">
        <f t="shared" si="20"/>
        <v>166666.66666666494</v>
      </c>
      <c r="H110" s="14">
        <f t="shared" si="14"/>
        <v>100</v>
      </c>
      <c r="I110" s="21">
        <f t="shared" si="21"/>
        <v>11102.050194164944</v>
      </c>
      <c r="J110" s="29">
        <f t="shared" si="15"/>
        <v>1103.9867194932444</v>
      </c>
      <c r="K110" s="21">
        <f t="shared" si="16"/>
        <v>9998.0634746716987</v>
      </c>
      <c r="L110" s="17">
        <f t="shared" si="17"/>
        <v>210799.28042397718</v>
      </c>
    </row>
    <row r="111" spans="1:12" x14ac:dyDescent="0.2">
      <c r="A111" s="14">
        <f t="shared" si="18"/>
        <v>101</v>
      </c>
      <c r="B111" s="16">
        <f t="shared" si="4"/>
        <v>9166.6666666666588</v>
      </c>
      <c r="C111" s="18">
        <f t="shared" si="19"/>
        <v>833.33333333332473</v>
      </c>
      <c r="D111" s="16">
        <f t="shared" si="6"/>
        <v>8333.3333333333339</v>
      </c>
      <c r="E111" s="17">
        <f t="shared" si="20"/>
        <v>158333.3333333316</v>
      </c>
      <c r="H111" s="14">
        <f t="shared" si="14"/>
        <v>101</v>
      </c>
      <c r="I111" s="21">
        <f t="shared" si="21"/>
        <v>11102.050194164944</v>
      </c>
      <c r="J111" s="29">
        <f t="shared" si="15"/>
        <v>1053.9964021198859</v>
      </c>
      <c r="K111" s="21">
        <f t="shared" si="16"/>
        <v>10048.053792045057</v>
      </c>
      <c r="L111" s="17">
        <f t="shared" si="17"/>
        <v>200751.22663193214</v>
      </c>
    </row>
    <row r="112" spans="1:12" x14ac:dyDescent="0.2">
      <c r="A112" s="14">
        <f t="shared" si="18"/>
        <v>102</v>
      </c>
      <c r="B112" s="16">
        <f t="shared" si="4"/>
        <v>9124.9999999999927</v>
      </c>
      <c r="C112" s="18">
        <f t="shared" si="19"/>
        <v>791.66666666665799</v>
      </c>
      <c r="D112" s="16">
        <f t="shared" si="6"/>
        <v>8333.3333333333339</v>
      </c>
      <c r="E112" s="17">
        <f t="shared" si="20"/>
        <v>149999.99999999825</v>
      </c>
      <c r="H112" s="14">
        <f t="shared" si="14"/>
        <v>102</v>
      </c>
      <c r="I112" s="21">
        <f t="shared" si="21"/>
        <v>11102.050194164944</v>
      </c>
      <c r="J112" s="29">
        <f t="shared" si="15"/>
        <v>1003.7561331596607</v>
      </c>
      <c r="K112" s="21">
        <f t="shared" si="16"/>
        <v>10098.294061005283</v>
      </c>
      <c r="L112" s="17">
        <f t="shared" si="17"/>
        <v>190652.93257092685</v>
      </c>
    </row>
    <row r="113" spans="1:12" x14ac:dyDescent="0.2">
      <c r="A113" s="14">
        <f t="shared" si="18"/>
        <v>103</v>
      </c>
      <c r="B113" s="16">
        <f t="shared" si="4"/>
        <v>9083.3333333333248</v>
      </c>
      <c r="C113" s="18">
        <f t="shared" si="19"/>
        <v>749.99999999999125</v>
      </c>
      <c r="D113" s="16">
        <f t="shared" si="6"/>
        <v>8333.3333333333339</v>
      </c>
      <c r="E113" s="17">
        <f t="shared" si="20"/>
        <v>141666.66666666491</v>
      </c>
      <c r="H113" s="14">
        <f t="shared" si="14"/>
        <v>103</v>
      </c>
      <c r="I113" s="21">
        <f t="shared" si="21"/>
        <v>11102.050194164944</v>
      </c>
      <c r="J113" s="29">
        <f t="shared" si="15"/>
        <v>953.26466285463425</v>
      </c>
      <c r="K113" s="21">
        <f t="shared" si="16"/>
        <v>10148.78553131031</v>
      </c>
      <c r="L113" s="17">
        <f t="shared" si="17"/>
        <v>180504.14703961654</v>
      </c>
    </row>
    <row r="114" spans="1:12" x14ac:dyDescent="0.2">
      <c r="A114" s="14">
        <f t="shared" si="18"/>
        <v>104</v>
      </c>
      <c r="B114" s="16">
        <f t="shared" si="4"/>
        <v>9041.6666666666588</v>
      </c>
      <c r="C114" s="18">
        <f t="shared" si="19"/>
        <v>708.33333333332462</v>
      </c>
      <c r="D114" s="16">
        <f t="shared" si="6"/>
        <v>8333.3333333333339</v>
      </c>
      <c r="E114" s="17">
        <f t="shared" si="20"/>
        <v>133333.33333333157</v>
      </c>
      <c r="H114" s="14">
        <f t="shared" si="14"/>
        <v>104</v>
      </c>
      <c r="I114" s="21">
        <f t="shared" si="21"/>
        <v>11102.050194164944</v>
      </c>
      <c r="J114" s="29">
        <f t="shared" si="15"/>
        <v>902.52073519808266</v>
      </c>
      <c r="K114" s="21">
        <f t="shared" si="16"/>
        <v>10199.529458966861</v>
      </c>
      <c r="L114" s="17">
        <f t="shared" si="17"/>
        <v>170304.61758064968</v>
      </c>
    </row>
    <row r="115" spans="1:12" x14ac:dyDescent="0.2">
      <c r="A115" s="14">
        <f t="shared" si="18"/>
        <v>105</v>
      </c>
      <c r="B115" s="16">
        <f t="shared" si="4"/>
        <v>8999.9999999999927</v>
      </c>
      <c r="C115" s="18">
        <f t="shared" si="19"/>
        <v>666.66666666665787</v>
      </c>
      <c r="D115" s="16">
        <f t="shared" si="6"/>
        <v>8333.3333333333339</v>
      </c>
      <c r="E115" s="17">
        <f t="shared" si="20"/>
        <v>124999.99999999824</v>
      </c>
      <c r="H115" s="14">
        <f t="shared" si="14"/>
        <v>105</v>
      </c>
      <c r="I115" s="21">
        <f t="shared" si="21"/>
        <v>11102.050194164944</v>
      </c>
      <c r="J115" s="29">
        <f t="shared" si="15"/>
        <v>851.52308790324844</v>
      </c>
      <c r="K115" s="21">
        <f t="shared" si="16"/>
        <v>10250.527106261696</v>
      </c>
      <c r="L115" s="17">
        <f t="shared" si="17"/>
        <v>160054.09047438798</v>
      </c>
    </row>
    <row r="116" spans="1:12" x14ac:dyDescent="0.2">
      <c r="A116" s="14">
        <f t="shared" si="18"/>
        <v>106</v>
      </c>
      <c r="B116" s="16">
        <f t="shared" si="4"/>
        <v>8958.3333333333248</v>
      </c>
      <c r="C116" s="18">
        <f t="shared" si="19"/>
        <v>624.99999999999125</v>
      </c>
      <c r="D116" s="16">
        <f t="shared" si="6"/>
        <v>8333.3333333333339</v>
      </c>
      <c r="E116" s="17">
        <f t="shared" si="20"/>
        <v>116666.66666666491</v>
      </c>
      <c r="H116" s="14">
        <f t="shared" si="14"/>
        <v>106</v>
      </c>
      <c r="I116" s="21">
        <f t="shared" si="21"/>
        <v>11102.050194164944</v>
      </c>
      <c r="J116" s="29">
        <f t="shared" si="15"/>
        <v>800.27045237193988</v>
      </c>
      <c r="K116" s="21">
        <f t="shared" si="16"/>
        <v>10301.779741793003</v>
      </c>
      <c r="L116" s="17">
        <f t="shared" si="17"/>
        <v>149752.31073259498</v>
      </c>
    </row>
    <row r="117" spans="1:12" x14ac:dyDescent="0.2">
      <c r="A117" s="14">
        <f t="shared" si="18"/>
        <v>107</v>
      </c>
      <c r="B117" s="16">
        <f t="shared" si="4"/>
        <v>8916.6666666666588</v>
      </c>
      <c r="C117" s="18">
        <f t="shared" si="19"/>
        <v>583.33333333332462</v>
      </c>
      <c r="D117" s="16">
        <f t="shared" si="6"/>
        <v>8333.3333333333339</v>
      </c>
      <c r="E117" s="17">
        <f t="shared" si="20"/>
        <v>108333.33333333158</v>
      </c>
      <c r="H117" s="14">
        <f t="shared" si="14"/>
        <v>107</v>
      </c>
      <c r="I117" s="21">
        <f t="shared" si="21"/>
        <v>11102.050194164944</v>
      </c>
      <c r="J117" s="29">
        <f t="shared" si="15"/>
        <v>748.76155366297496</v>
      </c>
      <c r="K117" s="21">
        <f t="shared" si="16"/>
        <v>10353.288640501969</v>
      </c>
      <c r="L117" s="17">
        <f t="shared" si="17"/>
        <v>139399.02209209302</v>
      </c>
    </row>
    <row r="118" spans="1:12" x14ac:dyDescent="0.2">
      <c r="A118" s="14">
        <f t="shared" si="18"/>
        <v>108</v>
      </c>
      <c r="B118" s="16">
        <f t="shared" si="4"/>
        <v>8874.9999999999927</v>
      </c>
      <c r="C118" s="18">
        <f t="shared" si="19"/>
        <v>541.66666666665787</v>
      </c>
      <c r="D118" s="16">
        <f t="shared" si="6"/>
        <v>8333.3333333333339</v>
      </c>
      <c r="E118" s="17">
        <f t="shared" si="20"/>
        <v>99999.999999998254</v>
      </c>
      <c r="H118" s="14">
        <f t="shared" si="14"/>
        <v>108</v>
      </c>
      <c r="I118" s="21">
        <f t="shared" si="21"/>
        <v>11102.050194164944</v>
      </c>
      <c r="J118" s="29">
        <f t="shared" si="15"/>
        <v>696.99511046046507</v>
      </c>
      <c r="K118" s="21">
        <f t="shared" si="16"/>
        <v>10405.055083704479</v>
      </c>
      <c r="L118" s="17">
        <f t="shared" si="17"/>
        <v>128993.96700838854</v>
      </c>
    </row>
    <row r="119" spans="1:12" x14ac:dyDescent="0.2">
      <c r="A119" s="14">
        <f t="shared" si="18"/>
        <v>109</v>
      </c>
      <c r="B119" s="16">
        <f t="shared" si="4"/>
        <v>8833.3333333333248</v>
      </c>
      <c r="C119" s="18">
        <f t="shared" si="19"/>
        <v>499.9999999999913</v>
      </c>
      <c r="D119" s="16">
        <f t="shared" si="6"/>
        <v>8333.3333333333339</v>
      </c>
      <c r="E119" s="17">
        <f t="shared" si="20"/>
        <v>91666.666666664925</v>
      </c>
      <c r="H119" s="14">
        <f t="shared" si="14"/>
        <v>109</v>
      </c>
      <c r="I119" s="21">
        <f t="shared" si="21"/>
        <v>11102.050194164944</v>
      </c>
      <c r="J119" s="29">
        <f t="shared" si="15"/>
        <v>644.9698350419427</v>
      </c>
      <c r="K119" s="21">
        <f t="shared" si="16"/>
        <v>10457.080359123001</v>
      </c>
      <c r="L119" s="17">
        <f t="shared" si="17"/>
        <v>118536.88664926554</v>
      </c>
    </row>
    <row r="120" spans="1:12" x14ac:dyDescent="0.2">
      <c r="A120" s="14">
        <f t="shared" si="18"/>
        <v>110</v>
      </c>
      <c r="B120" s="16">
        <f t="shared" si="4"/>
        <v>8791.6666666666588</v>
      </c>
      <c r="C120" s="18">
        <f t="shared" si="19"/>
        <v>458.33333333332462</v>
      </c>
      <c r="D120" s="16">
        <f t="shared" si="6"/>
        <v>8333.3333333333339</v>
      </c>
      <c r="E120" s="17">
        <f t="shared" si="20"/>
        <v>83333.333333331597</v>
      </c>
      <c r="H120" s="14">
        <f t="shared" si="14"/>
        <v>110</v>
      </c>
      <c r="I120" s="21">
        <f t="shared" si="21"/>
        <v>11102.050194164944</v>
      </c>
      <c r="J120" s="29">
        <f t="shared" si="15"/>
        <v>592.68443324632767</v>
      </c>
      <c r="K120" s="21">
        <f t="shared" si="16"/>
        <v>10509.365760918616</v>
      </c>
      <c r="L120" s="17">
        <f t="shared" si="17"/>
        <v>108027.52088834692</v>
      </c>
    </row>
    <row r="121" spans="1:12" x14ac:dyDescent="0.2">
      <c r="A121" s="14">
        <f t="shared" si="18"/>
        <v>111</v>
      </c>
      <c r="B121" s="16">
        <f t="shared" si="4"/>
        <v>8749.9999999999927</v>
      </c>
      <c r="C121" s="18">
        <f t="shared" si="19"/>
        <v>416.66666666665799</v>
      </c>
      <c r="D121" s="16">
        <f t="shared" si="6"/>
        <v>8333.3333333333339</v>
      </c>
      <c r="E121" s="17">
        <f t="shared" si="20"/>
        <v>74999.999999998268</v>
      </c>
      <c r="H121" s="14">
        <f t="shared" si="14"/>
        <v>111</v>
      </c>
      <c r="I121" s="21">
        <f t="shared" si="21"/>
        <v>11102.050194164944</v>
      </c>
      <c r="J121" s="29">
        <f t="shared" si="15"/>
        <v>540.13760444173454</v>
      </c>
      <c r="K121" s="21">
        <f t="shared" si="16"/>
        <v>10561.91258972321</v>
      </c>
      <c r="L121" s="17">
        <f t="shared" si="17"/>
        <v>97465.608298623702</v>
      </c>
    </row>
    <row r="122" spans="1:12" x14ac:dyDescent="0.2">
      <c r="A122" s="14">
        <f t="shared" si="18"/>
        <v>112</v>
      </c>
      <c r="B122" s="16">
        <f t="shared" si="4"/>
        <v>8708.3333333333248</v>
      </c>
      <c r="C122" s="18">
        <f t="shared" si="19"/>
        <v>374.99999999999136</v>
      </c>
      <c r="D122" s="16">
        <f t="shared" si="6"/>
        <v>8333.3333333333339</v>
      </c>
      <c r="E122" s="17">
        <f t="shared" si="20"/>
        <v>66666.66666666494</v>
      </c>
      <c r="H122" s="14">
        <f t="shared" si="14"/>
        <v>112</v>
      </c>
      <c r="I122" s="21">
        <f t="shared" si="21"/>
        <v>11102.050194164944</v>
      </c>
      <c r="J122" s="29">
        <f t="shared" si="15"/>
        <v>487.32804149311852</v>
      </c>
      <c r="K122" s="21">
        <f t="shared" si="16"/>
        <v>10614.722152671826</v>
      </c>
      <c r="L122" s="17">
        <f t="shared" si="17"/>
        <v>86850.886145951881</v>
      </c>
    </row>
    <row r="123" spans="1:12" x14ac:dyDescent="0.2">
      <c r="A123" s="14">
        <f t="shared" si="18"/>
        <v>113</v>
      </c>
      <c r="B123" s="16">
        <f t="shared" si="4"/>
        <v>8666.6666666666588</v>
      </c>
      <c r="C123" s="18">
        <f t="shared" si="19"/>
        <v>333.33333333332473</v>
      </c>
      <c r="D123" s="16">
        <f t="shared" si="6"/>
        <v>8333.3333333333339</v>
      </c>
      <c r="E123" s="17">
        <f t="shared" si="20"/>
        <v>58333.333333331604</v>
      </c>
      <c r="H123" s="14">
        <f t="shared" si="14"/>
        <v>113</v>
      </c>
      <c r="I123" s="21">
        <f t="shared" si="21"/>
        <v>11102.050194164944</v>
      </c>
      <c r="J123" s="29">
        <f t="shared" si="15"/>
        <v>434.25443072975941</v>
      </c>
      <c r="K123" s="21">
        <f t="shared" si="16"/>
        <v>10667.795763435184</v>
      </c>
      <c r="L123" s="17">
        <f t="shared" si="17"/>
        <v>76183.090382516704</v>
      </c>
    </row>
    <row r="124" spans="1:12" x14ac:dyDescent="0.2">
      <c r="A124" s="14">
        <f t="shared" si="18"/>
        <v>114</v>
      </c>
      <c r="B124" s="16">
        <f t="shared" si="4"/>
        <v>8624.9999999999927</v>
      </c>
      <c r="C124" s="18">
        <f t="shared" si="19"/>
        <v>291.66666666665805</v>
      </c>
      <c r="D124" s="16">
        <f t="shared" si="6"/>
        <v>8333.3333333333339</v>
      </c>
      <c r="E124" s="17">
        <f t="shared" si="20"/>
        <v>49999.999999998268</v>
      </c>
      <c r="H124" s="14">
        <f t="shared" si="14"/>
        <v>114</v>
      </c>
      <c r="I124" s="21">
        <f t="shared" si="21"/>
        <v>11102.050194164944</v>
      </c>
      <c r="J124" s="29">
        <f t="shared" si="15"/>
        <v>380.91545191258353</v>
      </c>
      <c r="K124" s="21">
        <f t="shared" si="16"/>
        <v>10721.13474225236</v>
      </c>
      <c r="L124" s="17">
        <f t="shared" si="17"/>
        <v>65461.955640264343</v>
      </c>
    </row>
    <row r="125" spans="1:12" x14ac:dyDescent="0.2">
      <c r="A125" s="14">
        <f t="shared" si="18"/>
        <v>115</v>
      </c>
      <c r="B125" s="16">
        <f t="shared" si="4"/>
        <v>8583.3333333333248</v>
      </c>
      <c r="C125" s="18">
        <f t="shared" si="19"/>
        <v>249.99999999999136</v>
      </c>
      <c r="D125" s="16">
        <f t="shared" si="6"/>
        <v>8333.3333333333339</v>
      </c>
      <c r="E125" s="17">
        <f t="shared" si="20"/>
        <v>41666.666666664933</v>
      </c>
      <c r="H125" s="14">
        <f t="shared" si="14"/>
        <v>115</v>
      </c>
      <c r="I125" s="21">
        <f t="shared" si="21"/>
        <v>11102.050194164944</v>
      </c>
      <c r="J125" s="29">
        <f t="shared" si="15"/>
        <v>327.30977820132171</v>
      </c>
      <c r="K125" s="21">
        <f t="shared" si="16"/>
        <v>10774.740415963623</v>
      </c>
      <c r="L125" s="17">
        <f t="shared" si="17"/>
        <v>54687.215224300722</v>
      </c>
    </row>
    <row r="126" spans="1:12" x14ac:dyDescent="0.2">
      <c r="A126" s="14">
        <f t="shared" si="18"/>
        <v>116</v>
      </c>
      <c r="B126" s="16">
        <f t="shared" si="4"/>
        <v>8541.6666666666588</v>
      </c>
      <c r="C126" s="18">
        <f t="shared" si="19"/>
        <v>208.33333333332467</v>
      </c>
      <c r="D126" s="16">
        <f t="shared" si="6"/>
        <v>8333.3333333333339</v>
      </c>
      <c r="E126" s="17">
        <f t="shared" si="20"/>
        <v>33333.333333331597</v>
      </c>
      <c r="H126" s="14">
        <f t="shared" si="14"/>
        <v>116</v>
      </c>
      <c r="I126" s="21">
        <f t="shared" si="21"/>
        <v>11102.050194164944</v>
      </c>
      <c r="J126" s="29">
        <f t="shared" si="15"/>
        <v>273.43607612150362</v>
      </c>
      <c r="K126" s="21">
        <f t="shared" si="16"/>
        <v>10828.614118043441</v>
      </c>
      <c r="L126" s="17">
        <f t="shared" si="17"/>
        <v>43858.60110625728</v>
      </c>
    </row>
    <row r="127" spans="1:12" x14ac:dyDescent="0.2">
      <c r="A127" s="14">
        <f t="shared" si="18"/>
        <v>117</v>
      </c>
      <c r="B127" s="16">
        <f t="shared" si="4"/>
        <v>8499.9999999999927</v>
      </c>
      <c r="C127" s="18">
        <f t="shared" si="19"/>
        <v>166.66666666665799</v>
      </c>
      <c r="D127" s="16">
        <f t="shared" si="6"/>
        <v>8333.3333333333339</v>
      </c>
      <c r="E127" s="17">
        <f t="shared" si="20"/>
        <v>24999.999999998261</v>
      </c>
      <c r="H127" s="14">
        <f t="shared" si="14"/>
        <v>117</v>
      </c>
      <c r="I127" s="21">
        <f t="shared" si="21"/>
        <v>11102.050194164944</v>
      </c>
      <c r="J127" s="29">
        <f t="shared" si="15"/>
        <v>219.29300553128641</v>
      </c>
      <c r="K127" s="21">
        <f t="shared" si="16"/>
        <v>10882.757188633657</v>
      </c>
      <c r="L127" s="17">
        <f t="shared" si="17"/>
        <v>32975.843917623621</v>
      </c>
    </row>
    <row r="128" spans="1:12" x14ac:dyDescent="0.2">
      <c r="A128" s="14">
        <f t="shared" si="18"/>
        <v>118</v>
      </c>
      <c r="B128" s="16">
        <f t="shared" si="4"/>
        <v>8458.3333333333248</v>
      </c>
      <c r="C128" s="18">
        <f t="shared" si="19"/>
        <v>124.9999999999913</v>
      </c>
      <c r="D128" s="16">
        <f t="shared" si="6"/>
        <v>8333.3333333333339</v>
      </c>
      <c r="E128" s="17">
        <f t="shared" si="20"/>
        <v>16666.666666664925</v>
      </c>
      <c r="H128" s="14">
        <f t="shared" si="14"/>
        <v>118</v>
      </c>
      <c r="I128" s="21">
        <f t="shared" si="21"/>
        <v>11102.050194164944</v>
      </c>
      <c r="J128" s="29">
        <f t="shared" si="15"/>
        <v>164.8792195881181</v>
      </c>
      <c r="K128" s="21">
        <f t="shared" si="16"/>
        <v>10937.170974576826</v>
      </c>
      <c r="L128" s="17">
        <f t="shared" si="17"/>
        <v>22038.672943046797</v>
      </c>
    </row>
    <row r="129" spans="1:12" x14ac:dyDescent="0.2">
      <c r="A129" s="14">
        <f t="shared" si="18"/>
        <v>119</v>
      </c>
      <c r="B129" s="16">
        <f t="shared" si="4"/>
        <v>8416.6666666666588</v>
      </c>
      <c r="C129" s="18">
        <f t="shared" si="19"/>
        <v>83.333333333324632</v>
      </c>
      <c r="D129" s="16">
        <f t="shared" si="6"/>
        <v>8333.3333333333339</v>
      </c>
      <c r="E129" s="17">
        <f t="shared" si="20"/>
        <v>8333.3333333315913</v>
      </c>
      <c r="H129" s="14">
        <f t="shared" si="14"/>
        <v>119</v>
      </c>
      <c r="I129" s="21">
        <f t="shared" si="21"/>
        <v>11102.050194164944</v>
      </c>
      <c r="J129" s="29">
        <f t="shared" si="15"/>
        <v>110.19336471523398</v>
      </c>
      <c r="K129" s="21">
        <f t="shared" si="16"/>
        <v>10991.856829449709</v>
      </c>
      <c r="L129" s="17">
        <f t="shared" si="17"/>
        <v>11046.816113597088</v>
      </c>
    </row>
    <row r="130" spans="1:12" ht="13.5" thickBot="1" x14ac:dyDescent="0.25">
      <c r="A130" s="14">
        <f t="shared" si="18"/>
        <v>120</v>
      </c>
      <c r="B130" s="16">
        <f t="shared" si="4"/>
        <v>8374.9999999999927</v>
      </c>
      <c r="C130" s="18">
        <f t="shared" si="19"/>
        <v>41.66666666665796</v>
      </c>
      <c r="D130" s="16">
        <f t="shared" si="6"/>
        <v>8333.3333333333339</v>
      </c>
      <c r="E130" s="17">
        <f t="shared" si="20"/>
        <v>-1.7425918485969305E-9</v>
      </c>
      <c r="H130" s="19">
        <f t="shared" si="14"/>
        <v>120</v>
      </c>
      <c r="I130" s="21">
        <f t="shared" si="21"/>
        <v>11102.050194164944</v>
      </c>
      <c r="J130" s="29">
        <f t="shared" si="15"/>
        <v>55.234080567985437</v>
      </c>
      <c r="K130" s="21">
        <f t="shared" si="16"/>
        <v>11046.816113596959</v>
      </c>
      <c r="L130" s="17">
        <f t="shared" si="17"/>
        <v>1.2914824765175581E-10</v>
      </c>
    </row>
    <row r="131" spans="1:12" ht="13.5" thickBot="1" x14ac:dyDescent="0.25">
      <c r="A131" s="26" t="s">
        <v>10</v>
      </c>
      <c r="B131" s="27">
        <f>SUM(B11:B130)</f>
        <v>1302500</v>
      </c>
      <c r="C131" s="27">
        <f>SUM(C11:C130)</f>
        <v>302499.99999999948</v>
      </c>
      <c r="D131" s="27">
        <f>SUM(D11:D130)</f>
        <v>1000000.0000000017</v>
      </c>
      <c r="E131" s="28"/>
      <c r="H131" s="26" t="s">
        <v>10</v>
      </c>
      <c r="I131" s="27">
        <f>SUM(I11:I130)</f>
        <v>1332246.0232997958</v>
      </c>
      <c r="J131" s="27">
        <f>SUM(J11:J130)</f>
        <v>332246.02329979365</v>
      </c>
      <c r="K131" s="27">
        <f>SUM(K11:K130)</f>
        <v>999999.99999999977</v>
      </c>
      <c r="L131" s="28"/>
    </row>
    <row r="132" spans="1:12" x14ac:dyDescent="0.2">
      <c r="B132" s="1" t="s">
        <v>11</v>
      </c>
      <c r="C132" s="23">
        <f>NPV(B6,C11:C130)</f>
        <v>249387.88894026174</v>
      </c>
      <c r="I132" s="1" t="s">
        <v>11</v>
      </c>
      <c r="J132" s="23">
        <f>NPV(I6,J12:J130)</f>
        <v>267753.97670020745</v>
      </c>
    </row>
  </sheetData>
  <phoneticPr fontId="2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2995-CE1C-478F-9AB9-7B8B249BF28A}">
  <dimension ref="A2:O134"/>
  <sheetViews>
    <sheetView showGridLines="0" zoomScale="110" zoomScaleNormal="110" workbookViewId="0">
      <selection activeCell="B1" sqref="B1"/>
    </sheetView>
  </sheetViews>
  <sheetFormatPr defaultColWidth="8.7109375" defaultRowHeight="12.75" x14ac:dyDescent="0.2"/>
  <cols>
    <col min="1" max="1" width="7.42578125" style="57" customWidth="1"/>
    <col min="2" max="2" width="12.42578125" style="57" bestFit="1" customWidth="1"/>
    <col min="3" max="3" width="10.85546875" style="57" bestFit="1" customWidth="1"/>
    <col min="4" max="4" width="12.42578125" style="57" bestFit="1" customWidth="1"/>
    <col min="5" max="5" width="13.5703125" style="57" customWidth="1"/>
    <col min="6" max="6" width="11.42578125" style="57" bestFit="1" customWidth="1"/>
    <col min="7" max="8" width="8.7109375" style="57"/>
    <col min="9" max="9" width="12.42578125" style="57" bestFit="1" customWidth="1"/>
    <col min="10" max="10" width="12.140625" style="57" customWidth="1"/>
    <col min="11" max="11" width="11.7109375" style="57" customWidth="1"/>
    <col min="12" max="12" width="13.5703125" style="57" customWidth="1"/>
    <col min="13" max="13" width="11.85546875" style="57" bestFit="1" customWidth="1"/>
    <col min="14" max="14" width="4.140625" style="57" customWidth="1"/>
    <col min="15" max="15" width="13.7109375" style="57" bestFit="1" customWidth="1"/>
    <col min="16" max="16384" width="8.7109375" style="57"/>
  </cols>
  <sheetData>
    <row r="2" spans="1:15" x14ac:dyDescent="0.2">
      <c r="A2" s="56" t="s">
        <v>4</v>
      </c>
      <c r="H2" s="56" t="s">
        <v>12</v>
      </c>
    </row>
    <row r="4" spans="1:15" x14ac:dyDescent="0.2">
      <c r="A4" s="58" t="s">
        <v>2</v>
      </c>
      <c r="B4" s="59">
        <v>500000</v>
      </c>
      <c r="D4" s="60"/>
      <c r="H4" s="58" t="s">
        <v>2</v>
      </c>
      <c r="I4" s="59">
        <f>'Amortização + corr monetária'!B4</f>
        <v>500000</v>
      </c>
      <c r="K4" s="60"/>
    </row>
    <row r="5" spans="1:15" x14ac:dyDescent="0.2">
      <c r="A5" s="61" t="s">
        <v>1</v>
      </c>
      <c r="B5" s="62">
        <v>120</v>
      </c>
      <c r="D5" s="60"/>
      <c r="H5" s="61" t="s">
        <v>1</v>
      </c>
      <c r="I5" s="62">
        <v>120</v>
      </c>
      <c r="K5" s="60"/>
    </row>
    <row r="6" spans="1:15" x14ac:dyDescent="0.2">
      <c r="A6" s="63" t="s">
        <v>0</v>
      </c>
      <c r="B6" s="64">
        <v>0.01</v>
      </c>
      <c r="C6" s="57" t="s">
        <v>15</v>
      </c>
      <c r="D6" s="65" t="s">
        <v>16</v>
      </c>
      <c r="E6" s="66">
        <f>(1+B6)^12-1</f>
        <v>0.12682503013196977</v>
      </c>
      <c r="F6" s="65"/>
      <c r="H6" s="63" t="s">
        <v>0</v>
      </c>
      <c r="I6" s="64">
        <f>'Amortização + corr monetária'!B6</f>
        <v>0.01</v>
      </c>
    </row>
    <row r="8" spans="1:15" x14ac:dyDescent="0.2">
      <c r="A8" s="57" t="s">
        <v>134</v>
      </c>
    </row>
    <row r="9" spans="1:15" x14ac:dyDescent="0.2">
      <c r="A9" s="57" t="s">
        <v>135</v>
      </c>
      <c r="B9" s="67">
        <v>0.06</v>
      </c>
      <c r="C9" s="57" t="s">
        <v>14</v>
      </c>
    </row>
    <row r="10" spans="1:15" ht="13.5" thickBot="1" x14ac:dyDescent="0.25"/>
    <row r="11" spans="1:15" x14ac:dyDescent="0.2">
      <c r="A11" s="68" t="s">
        <v>5</v>
      </c>
      <c r="B11" s="69" t="s">
        <v>6</v>
      </c>
      <c r="C11" s="70" t="s">
        <v>7</v>
      </c>
      <c r="D11" s="69" t="s">
        <v>8</v>
      </c>
      <c r="E11" s="89" t="s">
        <v>9</v>
      </c>
      <c r="F11" s="91" t="s">
        <v>136</v>
      </c>
      <c r="H11" s="68" t="s">
        <v>5</v>
      </c>
      <c r="I11" s="69" t="s">
        <v>6</v>
      </c>
      <c r="J11" s="70" t="s">
        <v>7</v>
      </c>
      <c r="K11" s="69" t="s">
        <v>8</v>
      </c>
      <c r="L11" s="71" t="s">
        <v>9</v>
      </c>
      <c r="M11" s="91" t="s">
        <v>136</v>
      </c>
      <c r="O11" s="88" t="s">
        <v>137</v>
      </c>
    </row>
    <row r="12" spans="1:15" x14ac:dyDescent="0.2">
      <c r="A12" s="72">
        <v>0</v>
      </c>
      <c r="B12" s="73"/>
      <c r="C12" s="74"/>
      <c r="D12" s="75"/>
      <c r="E12" s="90">
        <f>B4</f>
        <v>500000</v>
      </c>
      <c r="F12" s="73"/>
      <c r="H12" s="72">
        <v>0</v>
      </c>
      <c r="I12" s="77"/>
      <c r="J12" s="74"/>
      <c r="K12" s="73"/>
      <c r="L12" s="76">
        <f>I4</f>
        <v>500000</v>
      </c>
      <c r="M12" s="73"/>
      <c r="O12" s="73">
        <f t="shared" ref="O12:O24" si="0">$B$5-A12</f>
        <v>120</v>
      </c>
    </row>
    <row r="13" spans="1:15" x14ac:dyDescent="0.2">
      <c r="A13" s="72">
        <f t="shared" ref="A13:A24" si="1">A12+1</f>
        <v>1</v>
      </c>
      <c r="B13" s="75">
        <f t="shared" ref="B13:B24" si="2">D13+C13</f>
        <v>9166.6666666666679</v>
      </c>
      <c r="C13" s="78">
        <f t="shared" ref="C13:C24" si="3">E12*$B$6</f>
        <v>5000</v>
      </c>
      <c r="D13" s="75">
        <f t="shared" ref="D13:D24" si="4">$B$4/$B$5</f>
        <v>4166.666666666667</v>
      </c>
      <c r="E13" s="90">
        <f t="shared" ref="E13:E24" si="5">E12-D13</f>
        <v>495833.33333333331</v>
      </c>
      <c r="F13" s="73"/>
      <c r="H13" s="72">
        <f t="shared" ref="H13:H24" si="6">H12+1</f>
        <v>1</v>
      </c>
      <c r="I13" s="77">
        <f>PMT($I$6,$O$12,-$L$12)</f>
        <v>7173.5474201293691</v>
      </c>
      <c r="J13" s="79">
        <f t="shared" ref="J13:J24" si="7">L12*$I$6</f>
        <v>5000</v>
      </c>
      <c r="K13" s="77">
        <f t="shared" ref="K13:K24" si="8">I13-J13</f>
        <v>2173.5474201293691</v>
      </c>
      <c r="L13" s="76">
        <f t="shared" ref="L13:L24" si="9">L12-K13</f>
        <v>497826.45257987065</v>
      </c>
      <c r="M13" s="73"/>
      <c r="O13" s="73">
        <f t="shared" si="0"/>
        <v>119</v>
      </c>
    </row>
    <row r="14" spans="1:15" x14ac:dyDescent="0.2">
      <c r="A14" s="72">
        <f t="shared" si="1"/>
        <v>2</v>
      </c>
      <c r="B14" s="75">
        <f t="shared" si="2"/>
        <v>9125</v>
      </c>
      <c r="C14" s="78">
        <f t="shared" si="3"/>
        <v>4958.333333333333</v>
      </c>
      <c r="D14" s="75">
        <f t="shared" si="4"/>
        <v>4166.666666666667</v>
      </c>
      <c r="E14" s="90">
        <f t="shared" si="5"/>
        <v>491666.66666666663</v>
      </c>
      <c r="F14" s="73"/>
      <c r="H14" s="72">
        <f t="shared" si="6"/>
        <v>2</v>
      </c>
      <c r="I14" s="77">
        <f>I13</f>
        <v>7173.5474201293691</v>
      </c>
      <c r="J14" s="79">
        <f t="shared" si="7"/>
        <v>4978.2645257987069</v>
      </c>
      <c r="K14" s="77">
        <f t="shared" si="8"/>
        <v>2195.2828943306622</v>
      </c>
      <c r="L14" s="76">
        <f t="shared" si="9"/>
        <v>495631.16968553996</v>
      </c>
      <c r="M14" s="73"/>
      <c r="O14" s="73">
        <f t="shared" si="0"/>
        <v>118</v>
      </c>
    </row>
    <row r="15" spans="1:15" x14ac:dyDescent="0.2">
      <c r="A15" s="72">
        <f t="shared" si="1"/>
        <v>3</v>
      </c>
      <c r="B15" s="75">
        <f t="shared" si="2"/>
        <v>9083.3333333333321</v>
      </c>
      <c r="C15" s="78">
        <f t="shared" si="3"/>
        <v>4916.6666666666661</v>
      </c>
      <c r="D15" s="75">
        <f t="shared" si="4"/>
        <v>4166.666666666667</v>
      </c>
      <c r="E15" s="90">
        <f t="shared" si="5"/>
        <v>487499.99999999994</v>
      </c>
      <c r="F15" s="73"/>
      <c r="H15" s="72">
        <f t="shared" si="6"/>
        <v>3</v>
      </c>
      <c r="I15" s="77">
        <f t="shared" ref="I15:I23" si="10">I14</f>
        <v>7173.5474201293691</v>
      </c>
      <c r="J15" s="79">
        <f t="shared" si="7"/>
        <v>4956.3116968553995</v>
      </c>
      <c r="K15" s="77">
        <f t="shared" si="8"/>
        <v>2217.2357232739696</v>
      </c>
      <c r="L15" s="76">
        <f t="shared" si="9"/>
        <v>493413.93396226602</v>
      </c>
      <c r="M15" s="73"/>
      <c r="O15" s="73">
        <f t="shared" si="0"/>
        <v>117</v>
      </c>
    </row>
    <row r="16" spans="1:15" x14ac:dyDescent="0.2">
      <c r="A16" s="72">
        <f t="shared" si="1"/>
        <v>4</v>
      </c>
      <c r="B16" s="75">
        <f t="shared" si="2"/>
        <v>9041.6666666666661</v>
      </c>
      <c r="C16" s="78">
        <f t="shared" si="3"/>
        <v>4874.9999999999991</v>
      </c>
      <c r="D16" s="75">
        <f t="shared" si="4"/>
        <v>4166.666666666667</v>
      </c>
      <c r="E16" s="90">
        <f t="shared" si="5"/>
        <v>483333.33333333326</v>
      </c>
      <c r="F16" s="73"/>
      <c r="H16" s="72">
        <f t="shared" si="6"/>
        <v>4</v>
      </c>
      <c r="I16" s="77">
        <f t="shared" si="10"/>
        <v>7173.5474201293691</v>
      </c>
      <c r="J16" s="79">
        <f t="shared" si="7"/>
        <v>4934.1393396226604</v>
      </c>
      <c r="K16" s="77">
        <f t="shared" si="8"/>
        <v>2239.4080805067088</v>
      </c>
      <c r="L16" s="76">
        <f t="shared" si="9"/>
        <v>491174.5258817593</v>
      </c>
      <c r="M16" s="73"/>
      <c r="O16" s="73">
        <f t="shared" si="0"/>
        <v>116</v>
      </c>
    </row>
    <row r="17" spans="1:15" x14ac:dyDescent="0.2">
      <c r="A17" s="72">
        <f t="shared" si="1"/>
        <v>5</v>
      </c>
      <c r="B17" s="75">
        <f t="shared" si="2"/>
        <v>9000</v>
      </c>
      <c r="C17" s="78">
        <f t="shared" si="3"/>
        <v>4833.333333333333</v>
      </c>
      <c r="D17" s="75">
        <f t="shared" si="4"/>
        <v>4166.666666666667</v>
      </c>
      <c r="E17" s="90">
        <f t="shared" si="5"/>
        <v>479166.66666666657</v>
      </c>
      <c r="F17" s="73"/>
      <c r="H17" s="72">
        <f t="shared" si="6"/>
        <v>5</v>
      </c>
      <c r="I17" s="77">
        <f t="shared" si="10"/>
        <v>7173.5474201293691</v>
      </c>
      <c r="J17" s="79">
        <f t="shared" si="7"/>
        <v>4911.7452588175929</v>
      </c>
      <c r="K17" s="77">
        <f t="shared" si="8"/>
        <v>2261.8021613117762</v>
      </c>
      <c r="L17" s="76">
        <f t="shared" si="9"/>
        <v>488912.72372044751</v>
      </c>
      <c r="M17" s="73"/>
      <c r="O17" s="73">
        <f t="shared" si="0"/>
        <v>115</v>
      </c>
    </row>
    <row r="18" spans="1:15" x14ac:dyDescent="0.2">
      <c r="A18" s="72">
        <f t="shared" si="1"/>
        <v>6</v>
      </c>
      <c r="B18" s="75">
        <f t="shared" si="2"/>
        <v>8958.3333333333321</v>
      </c>
      <c r="C18" s="78">
        <f t="shared" si="3"/>
        <v>4791.6666666666661</v>
      </c>
      <c r="D18" s="75">
        <f t="shared" si="4"/>
        <v>4166.666666666667</v>
      </c>
      <c r="E18" s="90">
        <f t="shared" si="5"/>
        <v>474999.99999999988</v>
      </c>
      <c r="F18" s="73"/>
      <c r="H18" s="72">
        <f t="shared" si="6"/>
        <v>6</v>
      </c>
      <c r="I18" s="77">
        <f t="shared" si="10"/>
        <v>7173.5474201293691</v>
      </c>
      <c r="J18" s="79">
        <f t="shared" si="7"/>
        <v>4889.127237204475</v>
      </c>
      <c r="K18" s="77">
        <f t="shared" si="8"/>
        <v>2284.4201829248941</v>
      </c>
      <c r="L18" s="76">
        <f t="shared" si="9"/>
        <v>486628.30353752262</v>
      </c>
      <c r="M18" s="73"/>
      <c r="O18" s="73">
        <f t="shared" si="0"/>
        <v>114</v>
      </c>
    </row>
    <row r="19" spans="1:15" x14ac:dyDescent="0.2">
      <c r="A19" s="72">
        <f t="shared" si="1"/>
        <v>7</v>
      </c>
      <c r="B19" s="75">
        <f t="shared" si="2"/>
        <v>8916.6666666666661</v>
      </c>
      <c r="C19" s="78">
        <f t="shared" si="3"/>
        <v>4749.9999999999991</v>
      </c>
      <c r="D19" s="75">
        <f t="shared" si="4"/>
        <v>4166.666666666667</v>
      </c>
      <c r="E19" s="90">
        <f t="shared" si="5"/>
        <v>470833.3333333332</v>
      </c>
      <c r="F19" s="73"/>
      <c r="H19" s="72">
        <f t="shared" si="6"/>
        <v>7</v>
      </c>
      <c r="I19" s="77">
        <f t="shared" si="10"/>
        <v>7173.5474201293691</v>
      </c>
      <c r="J19" s="79">
        <f t="shared" si="7"/>
        <v>4866.2830353752261</v>
      </c>
      <c r="K19" s="77">
        <f t="shared" si="8"/>
        <v>2307.2643847541431</v>
      </c>
      <c r="L19" s="76">
        <f t="shared" si="9"/>
        <v>484321.0391527685</v>
      </c>
      <c r="M19" s="73"/>
      <c r="O19" s="73">
        <f t="shared" si="0"/>
        <v>113</v>
      </c>
    </row>
    <row r="20" spans="1:15" x14ac:dyDescent="0.2">
      <c r="A20" s="72">
        <f t="shared" si="1"/>
        <v>8</v>
      </c>
      <c r="B20" s="75">
        <f t="shared" si="2"/>
        <v>8875</v>
      </c>
      <c r="C20" s="78">
        <f t="shared" si="3"/>
        <v>4708.3333333333321</v>
      </c>
      <c r="D20" s="75">
        <f t="shared" si="4"/>
        <v>4166.666666666667</v>
      </c>
      <c r="E20" s="90">
        <f t="shared" si="5"/>
        <v>466666.66666666651</v>
      </c>
      <c r="F20" s="73"/>
      <c r="H20" s="72">
        <f t="shared" si="6"/>
        <v>8</v>
      </c>
      <c r="I20" s="77">
        <f t="shared" si="10"/>
        <v>7173.5474201293691</v>
      </c>
      <c r="J20" s="79">
        <f t="shared" si="7"/>
        <v>4843.2103915276848</v>
      </c>
      <c r="K20" s="77">
        <f t="shared" si="8"/>
        <v>2330.3370286016843</v>
      </c>
      <c r="L20" s="76">
        <f t="shared" si="9"/>
        <v>481990.70212416683</v>
      </c>
      <c r="M20" s="73"/>
      <c r="O20" s="73">
        <f t="shared" si="0"/>
        <v>112</v>
      </c>
    </row>
    <row r="21" spans="1:15" x14ac:dyDescent="0.2">
      <c r="A21" s="72">
        <f t="shared" si="1"/>
        <v>9</v>
      </c>
      <c r="B21" s="75">
        <f t="shared" si="2"/>
        <v>8833.3333333333321</v>
      </c>
      <c r="C21" s="78">
        <f t="shared" si="3"/>
        <v>4666.6666666666652</v>
      </c>
      <c r="D21" s="75">
        <f t="shared" si="4"/>
        <v>4166.666666666667</v>
      </c>
      <c r="E21" s="90">
        <f t="shared" si="5"/>
        <v>462499.99999999983</v>
      </c>
      <c r="F21" s="73"/>
      <c r="H21" s="72">
        <f t="shared" si="6"/>
        <v>9</v>
      </c>
      <c r="I21" s="77">
        <f t="shared" si="10"/>
        <v>7173.5474201293691</v>
      </c>
      <c r="J21" s="79">
        <f t="shared" si="7"/>
        <v>4819.9070212416682</v>
      </c>
      <c r="K21" s="77">
        <f t="shared" si="8"/>
        <v>2353.6403988877009</v>
      </c>
      <c r="L21" s="76">
        <f t="shared" si="9"/>
        <v>479637.06172527914</v>
      </c>
      <c r="M21" s="73"/>
      <c r="O21" s="73">
        <f t="shared" si="0"/>
        <v>111</v>
      </c>
    </row>
    <row r="22" spans="1:15" x14ac:dyDescent="0.2">
      <c r="A22" s="72">
        <f t="shared" si="1"/>
        <v>10</v>
      </c>
      <c r="B22" s="75">
        <f t="shared" si="2"/>
        <v>8791.6666666666642</v>
      </c>
      <c r="C22" s="78">
        <f t="shared" si="3"/>
        <v>4624.9999999999982</v>
      </c>
      <c r="D22" s="75">
        <f t="shared" si="4"/>
        <v>4166.666666666667</v>
      </c>
      <c r="E22" s="90">
        <f t="shared" si="5"/>
        <v>458333.33333333314</v>
      </c>
      <c r="F22" s="73"/>
      <c r="H22" s="72">
        <f t="shared" si="6"/>
        <v>10</v>
      </c>
      <c r="I22" s="77">
        <f t="shared" si="10"/>
        <v>7173.5474201293691</v>
      </c>
      <c r="J22" s="79">
        <f t="shared" si="7"/>
        <v>4796.3706172527918</v>
      </c>
      <c r="K22" s="77">
        <f t="shared" si="8"/>
        <v>2377.1768028765773</v>
      </c>
      <c r="L22" s="76">
        <f t="shared" si="9"/>
        <v>477259.88492240256</v>
      </c>
      <c r="M22" s="73"/>
      <c r="O22" s="73">
        <f t="shared" si="0"/>
        <v>110</v>
      </c>
    </row>
    <row r="23" spans="1:15" x14ac:dyDescent="0.2">
      <c r="A23" s="72">
        <f t="shared" si="1"/>
        <v>11</v>
      </c>
      <c r="B23" s="75">
        <f t="shared" si="2"/>
        <v>8749.9999999999982</v>
      </c>
      <c r="C23" s="78">
        <f t="shared" si="3"/>
        <v>4583.3333333333312</v>
      </c>
      <c r="D23" s="75">
        <f t="shared" si="4"/>
        <v>4166.666666666667</v>
      </c>
      <c r="E23" s="90">
        <f t="shared" si="5"/>
        <v>454166.66666666645</v>
      </c>
      <c r="F23" s="73"/>
      <c r="H23" s="72">
        <f t="shared" si="6"/>
        <v>11</v>
      </c>
      <c r="I23" s="77">
        <f t="shared" si="10"/>
        <v>7173.5474201293691</v>
      </c>
      <c r="J23" s="79">
        <f t="shared" si="7"/>
        <v>4772.5988492240258</v>
      </c>
      <c r="K23" s="77">
        <f t="shared" si="8"/>
        <v>2400.9485709053433</v>
      </c>
      <c r="L23" s="76">
        <f t="shared" si="9"/>
        <v>474858.93635149719</v>
      </c>
      <c r="M23" s="73"/>
      <c r="O23" s="73">
        <f t="shared" si="0"/>
        <v>109</v>
      </c>
    </row>
    <row r="24" spans="1:15" x14ac:dyDescent="0.2">
      <c r="A24" s="93">
        <f t="shared" si="1"/>
        <v>12</v>
      </c>
      <c r="B24" s="94">
        <f t="shared" si="2"/>
        <v>8708.3333333333321</v>
      </c>
      <c r="C24" s="95">
        <f t="shared" si="3"/>
        <v>4541.6666666666642</v>
      </c>
      <c r="D24" s="94">
        <f t="shared" si="4"/>
        <v>4166.666666666667</v>
      </c>
      <c r="E24" s="96">
        <f t="shared" si="5"/>
        <v>449999.99999999977</v>
      </c>
      <c r="F24" s="97">
        <f>E24*(1+$B$9)</f>
        <v>476999.99999999977</v>
      </c>
      <c r="H24" s="93">
        <f t="shared" si="6"/>
        <v>12</v>
      </c>
      <c r="I24" s="98">
        <f>I23</f>
        <v>7173.5474201293691</v>
      </c>
      <c r="J24" s="99">
        <f t="shared" si="7"/>
        <v>4748.5893635149723</v>
      </c>
      <c r="K24" s="98">
        <f t="shared" si="8"/>
        <v>2424.9580566143968</v>
      </c>
      <c r="L24" s="100">
        <f t="shared" si="9"/>
        <v>472433.97829488281</v>
      </c>
      <c r="M24" s="97">
        <f>L24*(1+$B$9)</f>
        <v>500780.01699257578</v>
      </c>
      <c r="O24" s="73">
        <f t="shared" si="0"/>
        <v>108</v>
      </c>
    </row>
    <row r="25" spans="1:15" x14ac:dyDescent="0.2">
      <c r="A25" s="72">
        <f>A24+1</f>
        <v>13</v>
      </c>
      <c r="B25" s="75">
        <f t="shared" ref="B25:B36" si="11">D25+C25</f>
        <v>9186.6666666666624</v>
      </c>
      <c r="C25" s="78">
        <f>F24*$B$6</f>
        <v>4769.9999999999982</v>
      </c>
      <c r="D25" s="75">
        <f>F24/O24</f>
        <v>4416.6666666666642</v>
      </c>
      <c r="E25" s="90">
        <f>F24-D25</f>
        <v>472583.33333333308</v>
      </c>
      <c r="F25" s="73"/>
      <c r="H25" s="72">
        <f>H24+1</f>
        <v>13</v>
      </c>
      <c r="I25" s="77">
        <f>PMT($I$6,$O24,-$M24)</f>
        <v>7603.9602653371312</v>
      </c>
      <c r="J25" s="79">
        <f>M24*$I$6</f>
        <v>5007.8001699257575</v>
      </c>
      <c r="K25" s="77">
        <f t="shared" ref="K25:K36" si="12">I25-J25</f>
        <v>2596.1600954113737</v>
      </c>
      <c r="L25" s="76">
        <f>M24-K25</f>
        <v>498183.85689716443</v>
      </c>
      <c r="M25" s="73"/>
      <c r="O25" s="73">
        <f t="shared" ref="O25:O35" si="13">$B$5-A25</f>
        <v>107</v>
      </c>
    </row>
    <row r="26" spans="1:15" x14ac:dyDescent="0.2">
      <c r="A26" s="72">
        <f t="shared" ref="A26:A36" si="14">A25+1</f>
        <v>14</v>
      </c>
      <c r="B26" s="75">
        <f t="shared" si="11"/>
        <v>9142.4999999999964</v>
      </c>
      <c r="C26" s="78">
        <f t="shared" ref="C26:C36" si="15">E25*$B$6</f>
        <v>4725.8333333333312</v>
      </c>
      <c r="D26" s="75">
        <f t="shared" ref="D26:D36" si="16">D25</f>
        <v>4416.6666666666642</v>
      </c>
      <c r="E26" s="90">
        <f t="shared" ref="E26:E36" si="17">E25-D26</f>
        <v>468166.6666666664</v>
      </c>
      <c r="F26" s="73"/>
      <c r="H26" s="72">
        <f t="shared" ref="H26:H36" si="18">H25+1</f>
        <v>14</v>
      </c>
      <c r="I26" s="77">
        <f>I25</f>
        <v>7603.9602653371312</v>
      </c>
      <c r="J26" s="79">
        <f t="shared" ref="J26:J36" si="19">L25*$I$6</f>
        <v>4981.8385689716442</v>
      </c>
      <c r="K26" s="77">
        <f t="shared" si="12"/>
        <v>2622.121696365487</v>
      </c>
      <c r="L26" s="76">
        <f t="shared" ref="L26:L36" si="20">L25-K26</f>
        <v>495561.73520079895</v>
      </c>
      <c r="M26" s="73"/>
      <c r="O26" s="73">
        <f t="shared" si="13"/>
        <v>106</v>
      </c>
    </row>
    <row r="27" spans="1:15" x14ac:dyDescent="0.2">
      <c r="A27" s="72">
        <f t="shared" si="14"/>
        <v>15</v>
      </c>
      <c r="B27" s="75">
        <f t="shared" si="11"/>
        <v>9098.3333333333285</v>
      </c>
      <c r="C27" s="78">
        <f t="shared" si="15"/>
        <v>4681.6666666666642</v>
      </c>
      <c r="D27" s="75">
        <f t="shared" si="16"/>
        <v>4416.6666666666642</v>
      </c>
      <c r="E27" s="90">
        <f t="shared" si="17"/>
        <v>463749.99999999971</v>
      </c>
      <c r="F27" s="73"/>
      <c r="H27" s="72">
        <f t="shared" si="18"/>
        <v>15</v>
      </c>
      <c r="I27" s="77">
        <f t="shared" ref="I27:I90" si="21">I26</f>
        <v>7603.9602653371312</v>
      </c>
      <c r="J27" s="79">
        <f t="shared" si="19"/>
        <v>4955.6173520079892</v>
      </c>
      <c r="K27" s="77">
        <f t="shared" si="12"/>
        <v>2648.342913329142</v>
      </c>
      <c r="L27" s="76">
        <f t="shared" si="20"/>
        <v>492913.39228746982</v>
      </c>
      <c r="M27" s="73"/>
      <c r="O27" s="73">
        <f t="shared" si="13"/>
        <v>105</v>
      </c>
    </row>
    <row r="28" spans="1:15" x14ac:dyDescent="0.2">
      <c r="A28" s="72">
        <f t="shared" si="14"/>
        <v>16</v>
      </c>
      <c r="B28" s="75">
        <f t="shared" si="11"/>
        <v>9054.1666666666606</v>
      </c>
      <c r="C28" s="78">
        <f t="shared" si="15"/>
        <v>4637.4999999999973</v>
      </c>
      <c r="D28" s="75">
        <f t="shared" si="16"/>
        <v>4416.6666666666642</v>
      </c>
      <c r="E28" s="90">
        <f t="shared" si="17"/>
        <v>459333.33333333302</v>
      </c>
      <c r="F28" s="73"/>
      <c r="H28" s="72">
        <f t="shared" si="18"/>
        <v>16</v>
      </c>
      <c r="I28" s="77">
        <f t="shared" si="21"/>
        <v>7603.9602653371312</v>
      </c>
      <c r="J28" s="79">
        <f t="shared" si="19"/>
        <v>4929.1339228746983</v>
      </c>
      <c r="K28" s="77">
        <f t="shared" si="12"/>
        <v>2674.8263424624329</v>
      </c>
      <c r="L28" s="76">
        <f t="shared" si="20"/>
        <v>490238.56594500737</v>
      </c>
      <c r="M28" s="73"/>
      <c r="O28" s="73">
        <f t="shared" si="13"/>
        <v>104</v>
      </c>
    </row>
    <row r="29" spans="1:15" x14ac:dyDescent="0.2">
      <c r="A29" s="72">
        <f t="shared" si="14"/>
        <v>17</v>
      </c>
      <c r="B29" s="75">
        <f t="shared" si="11"/>
        <v>9009.9999999999945</v>
      </c>
      <c r="C29" s="78">
        <f t="shared" si="15"/>
        <v>4593.3333333333303</v>
      </c>
      <c r="D29" s="75">
        <f t="shared" si="16"/>
        <v>4416.6666666666642</v>
      </c>
      <c r="E29" s="90">
        <f t="shared" si="17"/>
        <v>454916.66666666634</v>
      </c>
      <c r="F29" s="73"/>
      <c r="H29" s="72">
        <f t="shared" si="18"/>
        <v>17</v>
      </c>
      <c r="I29" s="77">
        <f t="shared" si="21"/>
        <v>7603.9602653371312</v>
      </c>
      <c r="J29" s="79">
        <f t="shared" si="19"/>
        <v>4902.3856594500739</v>
      </c>
      <c r="K29" s="77">
        <f t="shared" si="12"/>
        <v>2701.5746058870573</v>
      </c>
      <c r="L29" s="76">
        <f t="shared" si="20"/>
        <v>487536.99133912032</v>
      </c>
      <c r="M29" s="73"/>
      <c r="O29" s="73">
        <f t="shared" si="13"/>
        <v>103</v>
      </c>
    </row>
    <row r="30" spans="1:15" x14ac:dyDescent="0.2">
      <c r="A30" s="72">
        <f t="shared" si="14"/>
        <v>18</v>
      </c>
      <c r="B30" s="75">
        <f t="shared" si="11"/>
        <v>8965.8333333333285</v>
      </c>
      <c r="C30" s="78">
        <f t="shared" si="15"/>
        <v>4549.1666666666633</v>
      </c>
      <c r="D30" s="75">
        <f t="shared" si="16"/>
        <v>4416.6666666666642</v>
      </c>
      <c r="E30" s="90">
        <f t="shared" si="17"/>
        <v>450499.99999999965</v>
      </c>
      <c r="F30" s="73"/>
      <c r="H30" s="72">
        <f t="shared" si="18"/>
        <v>18</v>
      </c>
      <c r="I30" s="77">
        <f t="shared" si="21"/>
        <v>7603.9602653371312</v>
      </c>
      <c r="J30" s="79">
        <f t="shared" si="19"/>
        <v>4875.3699133912032</v>
      </c>
      <c r="K30" s="77">
        <f t="shared" si="12"/>
        <v>2728.590351945928</v>
      </c>
      <c r="L30" s="76">
        <f t="shared" si="20"/>
        <v>484808.40098717436</v>
      </c>
      <c r="M30" s="73"/>
      <c r="O30" s="73">
        <f t="shared" si="13"/>
        <v>102</v>
      </c>
    </row>
    <row r="31" spans="1:15" x14ac:dyDescent="0.2">
      <c r="A31" s="72">
        <f t="shared" si="14"/>
        <v>19</v>
      </c>
      <c r="B31" s="75">
        <f t="shared" si="11"/>
        <v>8921.6666666666606</v>
      </c>
      <c r="C31" s="78">
        <f t="shared" si="15"/>
        <v>4504.9999999999964</v>
      </c>
      <c r="D31" s="75">
        <f t="shared" si="16"/>
        <v>4416.6666666666642</v>
      </c>
      <c r="E31" s="90">
        <f t="shared" si="17"/>
        <v>446083.33333333296</v>
      </c>
      <c r="F31" s="73"/>
      <c r="H31" s="72">
        <f t="shared" si="18"/>
        <v>19</v>
      </c>
      <c r="I31" s="77">
        <f t="shared" si="21"/>
        <v>7603.9602653371312</v>
      </c>
      <c r="J31" s="79">
        <f t="shared" si="19"/>
        <v>4848.0840098717435</v>
      </c>
      <c r="K31" s="77">
        <f t="shared" si="12"/>
        <v>2755.8762554653877</v>
      </c>
      <c r="L31" s="76">
        <f t="shared" si="20"/>
        <v>482052.52473170898</v>
      </c>
      <c r="M31" s="73"/>
      <c r="O31" s="73">
        <f t="shared" si="13"/>
        <v>101</v>
      </c>
    </row>
    <row r="32" spans="1:15" x14ac:dyDescent="0.2">
      <c r="A32" s="72">
        <f t="shared" si="14"/>
        <v>20</v>
      </c>
      <c r="B32" s="75">
        <f t="shared" si="11"/>
        <v>8877.4999999999927</v>
      </c>
      <c r="C32" s="78">
        <f t="shared" si="15"/>
        <v>4460.8333333333294</v>
      </c>
      <c r="D32" s="75">
        <f t="shared" si="16"/>
        <v>4416.6666666666642</v>
      </c>
      <c r="E32" s="90">
        <f t="shared" si="17"/>
        <v>441666.66666666628</v>
      </c>
      <c r="F32" s="73"/>
      <c r="H32" s="72">
        <f t="shared" si="18"/>
        <v>20</v>
      </c>
      <c r="I32" s="77">
        <f t="shared" si="21"/>
        <v>7603.9602653371312</v>
      </c>
      <c r="J32" s="79">
        <f t="shared" si="19"/>
        <v>4820.5252473170904</v>
      </c>
      <c r="K32" s="77">
        <f t="shared" si="12"/>
        <v>2783.4350180200408</v>
      </c>
      <c r="L32" s="76">
        <f t="shared" si="20"/>
        <v>479269.08971368894</v>
      </c>
      <c r="M32" s="73"/>
      <c r="O32" s="73">
        <f t="shared" si="13"/>
        <v>100</v>
      </c>
    </row>
    <row r="33" spans="1:15" x14ac:dyDescent="0.2">
      <c r="A33" s="72">
        <f t="shared" si="14"/>
        <v>21</v>
      </c>
      <c r="B33" s="75">
        <f t="shared" si="11"/>
        <v>8833.3333333333285</v>
      </c>
      <c r="C33" s="78">
        <f t="shared" si="15"/>
        <v>4416.6666666666633</v>
      </c>
      <c r="D33" s="75">
        <f t="shared" si="16"/>
        <v>4416.6666666666642</v>
      </c>
      <c r="E33" s="90">
        <f t="shared" si="17"/>
        <v>437249.99999999959</v>
      </c>
      <c r="F33" s="73"/>
      <c r="H33" s="72">
        <f t="shared" si="18"/>
        <v>21</v>
      </c>
      <c r="I33" s="77">
        <f t="shared" si="21"/>
        <v>7603.9602653371312</v>
      </c>
      <c r="J33" s="79">
        <f t="shared" si="19"/>
        <v>4792.6908971368894</v>
      </c>
      <c r="K33" s="77">
        <f t="shared" si="12"/>
        <v>2811.2693682002418</v>
      </c>
      <c r="L33" s="76">
        <f t="shared" si="20"/>
        <v>476457.82034548873</v>
      </c>
      <c r="M33" s="73"/>
      <c r="O33" s="73">
        <f t="shared" si="13"/>
        <v>99</v>
      </c>
    </row>
    <row r="34" spans="1:15" x14ac:dyDescent="0.2">
      <c r="A34" s="72">
        <f t="shared" si="14"/>
        <v>22</v>
      </c>
      <c r="B34" s="75">
        <f t="shared" si="11"/>
        <v>8789.1666666666606</v>
      </c>
      <c r="C34" s="78">
        <f t="shared" si="15"/>
        <v>4372.4999999999964</v>
      </c>
      <c r="D34" s="75">
        <f t="shared" si="16"/>
        <v>4416.6666666666642</v>
      </c>
      <c r="E34" s="90">
        <f t="shared" si="17"/>
        <v>432833.33333333291</v>
      </c>
      <c r="F34" s="73"/>
      <c r="H34" s="72">
        <f t="shared" si="18"/>
        <v>22</v>
      </c>
      <c r="I34" s="77">
        <f t="shared" si="21"/>
        <v>7603.9602653371312</v>
      </c>
      <c r="J34" s="79">
        <f t="shared" si="19"/>
        <v>4764.5782034548874</v>
      </c>
      <c r="K34" s="77">
        <f t="shared" si="12"/>
        <v>2839.3820618822438</v>
      </c>
      <c r="L34" s="76">
        <f t="shared" si="20"/>
        <v>473618.43828360649</v>
      </c>
      <c r="M34" s="73"/>
      <c r="O34" s="73">
        <f t="shared" si="13"/>
        <v>98</v>
      </c>
    </row>
    <row r="35" spans="1:15" x14ac:dyDescent="0.2">
      <c r="A35" s="72">
        <f t="shared" si="14"/>
        <v>23</v>
      </c>
      <c r="B35" s="75">
        <f t="shared" si="11"/>
        <v>8744.9999999999927</v>
      </c>
      <c r="C35" s="78">
        <f t="shared" si="15"/>
        <v>4328.3333333333294</v>
      </c>
      <c r="D35" s="75">
        <f t="shared" si="16"/>
        <v>4416.6666666666642</v>
      </c>
      <c r="E35" s="90">
        <f t="shared" si="17"/>
        <v>428416.66666666622</v>
      </c>
      <c r="F35" s="73"/>
      <c r="H35" s="72">
        <f t="shared" si="18"/>
        <v>23</v>
      </c>
      <c r="I35" s="77">
        <f t="shared" si="21"/>
        <v>7603.9602653371312</v>
      </c>
      <c r="J35" s="79">
        <f t="shared" si="19"/>
        <v>4736.1843828360652</v>
      </c>
      <c r="K35" s="77">
        <f t="shared" si="12"/>
        <v>2867.775882501066</v>
      </c>
      <c r="L35" s="76">
        <f t="shared" si="20"/>
        <v>470750.66240110545</v>
      </c>
      <c r="M35" s="73"/>
      <c r="O35" s="73">
        <f t="shared" si="13"/>
        <v>97</v>
      </c>
    </row>
    <row r="36" spans="1:15" x14ac:dyDescent="0.2">
      <c r="A36" s="93">
        <f t="shared" si="14"/>
        <v>24</v>
      </c>
      <c r="B36" s="94">
        <f t="shared" si="11"/>
        <v>8700.8333333333267</v>
      </c>
      <c r="C36" s="95">
        <f t="shared" si="15"/>
        <v>4284.1666666666624</v>
      </c>
      <c r="D36" s="94">
        <f t="shared" si="16"/>
        <v>4416.6666666666642</v>
      </c>
      <c r="E36" s="96">
        <f t="shared" si="17"/>
        <v>423999.99999999953</v>
      </c>
      <c r="F36" s="97">
        <f>E36*(1+$B$9)</f>
        <v>449439.99999999953</v>
      </c>
      <c r="H36" s="93">
        <f t="shared" si="18"/>
        <v>24</v>
      </c>
      <c r="I36" s="98">
        <f>I35</f>
        <v>7603.9602653371312</v>
      </c>
      <c r="J36" s="99">
        <f t="shared" si="19"/>
        <v>4707.5066240110546</v>
      </c>
      <c r="K36" s="98">
        <f t="shared" si="12"/>
        <v>2896.4536413260766</v>
      </c>
      <c r="L36" s="100">
        <f t="shared" si="20"/>
        <v>467854.2087597794</v>
      </c>
      <c r="M36" s="97">
        <f>L36*(1+$B$9)</f>
        <v>495925.46128536621</v>
      </c>
      <c r="O36" s="73">
        <f>$B$5-A36</f>
        <v>96</v>
      </c>
    </row>
    <row r="37" spans="1:15" x14ac:dyDescent="0.2">
      <c r="A37" s="72">
        <f>A36+1</f>
        <v>25</v>
      </c>
      <c r="B37" s="75">
        <f t="shared" ref="B37:B48" si="22">D37+C37</f>
        <v>9176.0666666666566</v>
      </c>
      <c r="C37" s="78">
        <f>F36*$B$6</f>
        <v>4494.3999999999951</v>
      </c>
      <c r="D37" s="75">
        <f>F36/O36</f>
        <v>4681.6666666666615</v>
      </c>
      <c r="E37" s="90">
        <f>F36-D37</f>
        <v>444758.33333333285</v>
      </c>
      <c r="F37" s="73"/>
      <c r="H37" s="72">
        <f>H36+1</f>
        <v>25</v>
      </c>
      <c r="I37" s="77">
        <f>PMT($I$6,$O36,-$M36)</f>
        <v>8060.1978812573607</v>
      </c>
      <c r="J37" s="79">
        <f>M36*$I$6</f>
        <v>4959.2546128536624</v>
      </c>
      <c r="K37" s="77">
        <f t="shared" ref="K37" si="23">I37-J37</f>
        <v>3100.9432684036983</v>
      </c>
      <c r="L37" s="76">
        <f>M36-K37</f>
        <v>492824.51801696251</v>
      </c>
      <c r="M37" s="73"/>
      <c r="O37" s="73">
        <f t="shared" ref="O37:O100" si="24">$B$5-A37</f>
        <v>95</v>
      </c>
    </row>
    <row r="38" spans="1:15" x14ac:dyDescent="0.2">
      <c r="A38" s="72">
        <f t="shared" ref="A38:A48" si="25">A37+1</f>
        <v>26</v>
      </c>
      <c r="B38" s="75">
        <f t="shared" si="22"/>
        <v>9129.2499999999891</v>
      </c>
      <c r="C38" s="78">
        <f t="shared" ref="C38:C48" si="26">E37*$B$6</f>
        <v>4447.5833333333285</v>
      </c>
      <c r="D38" s="75">
        <f t="shared" ref="D38:D48" si="27">D37</f>
        <v>4681.6666666666615</v>
      </c>
      <c r="E38" s="90">
        <f t="shared" ref="E38:E48" si="28">E37-D38</f>
        <v>440076.66666666616</v>
      </c>
      <c r="F38" s="73"/>
      <c r="H38" s="72">
        <f t="shared" ref="H38:H48" si="29">H37+1</f>
        <v>26</v>
      </c>
      <c r="I38" s="77">
        <f t="shared" si="21"/>
        <v>8060.1978812573607</v>
      </c>
      <c r="J38" s="79">
        <f t="shared" ref="J38:J48" si="30">L37*$I$6</f>
        <v>4928.2451801696252</v>
      </c>
      <c r="K38" s="77">
        <f t="shared" ref="K38:K49" si="31">I38-J38</f>
        <v>3131.9527010877355</v>
      </c>
      <c r="L38" s="76">
        <f t="shared" ref="L38:L48" si="32">L37-K38</f>
        <v>489692.56531587476</v>
      </c>
      <c r="M38" s="73"/>
      <c r="O38" s="73">
        <f t="shared" si="24"/>
        <v>94</v>
      </c>
    </row>
    <row r="39" spans="1:15" x14ac:dyDescent="0.2">
      <c r="A39" s="72">
        <f t="shared" si="25"/>
        <v>27</v>
      </c>
      <c r="B39" s="75">
        <f t="shared" si="22"/>
        <v>9082.4333333333234</v>
      </c>
      <c r="C39" s="78">
        <f t="shared" si="26"/>
        <v>4400.7666666666619</v>
      </c>
      <c r="D39" s="75">
        <f t="shared" si="27"/>
        <v>4681.6666666666615</v>
      </c>
      <c r="E39" s="90">
        <f t="shared" si="28"/>
        <v>435394.99999999948</v>
      </c>
      <c r="F39" s="73"/>
      <c r="H39" s="72">
        <f t="shared" si="29"/>
        <v>27</v>
      </c>
      <c r="I39" s="77">
        <f t="shared" si="21"/>
        <v>8060.1978812573607</v>
      </c>
      <c r="J39" s="79">
        <f t="shared" si="30"/>
        <v>4896.925653158748</v>
      </c>
      <c r="K39" s="77">
        <f t="shared" si="31"/>
        <v>3163.2722280986127</v>
      </c>
      <c r="L39" s="76">
        <f t="shared" si="32"/>
        <v>486529.29308777617</v>
      </c>
      <c r="M39" s="73"/>
      <c r="O39" s="73">
        <f t="shared" si="24"/>
        <v>93</v>
      </c>
    </row>
    <row r="40" spans="1:15" x14ac:dyDescent="0.2">
      <c r="A40" s="72">
        <f t="shared" si="25"/>
        <v>28</v>
      </c>
      <c r="B40" s="75">
        <f t="shared" si="22"/>
        <v>9035.6166666666577</v>
      </c>
      <c r="C40" s="78">
        <f t="shared" si="26"/>
        <v>4353.9499999999953</v>
      </c>
      <c r="D40" s="75">
        <f t="shared" si="27"/>
        <v>4681.6666666666615</v>
      </c>
      <c r="E40" s="90">
        <f t="shared" si="28"/>
        <v>430713.33333333279</v>
      </c>
      <c r="F40" s="73"/>
      <c r="H40" s="72">
        <f t="shared" si="29"/>
        <v>28</v>
      </c>
      <c r="I40" s="77">
        <f t="shared" si="21"/>
        <v>8060.1978812573607</v>
      </c>
      <c r="J40" s="79">
        <f t="shared" si="30"/>
        <v>4865.292930877762</v>
      </c>
      <c r="K40" s="77">
        <f t="shared" si="31"/>
        <v>3194.9049503795986</v>
      </c>
      <c r="L40" s="76">
        <f t="shared" si="32"/>
        <v>483334.38813739654</v>
      </c>
      <c r="M40" s="73"/>
      <c r="O40" s="73">
        <f t="shared" si="24"/>
        <v>92</v>
      </c>
    </row>
    <row r="41" spans="1:15" x14ac:dyDescent="0.2">
      <c r="A41" s="72">
        <f t="shared" si="25"/>
        <v>29</v>
      </c>
      <c r="B41" s="75">
        <f t="shared" si="22"/>
        <v>8988.7999999999884</v>
      </c>
      <c r="C41" s="78">
        <f t="shared" si="26"/>
        <v>4307.1333333333278</v>
      </c>
      <c r="D41" s="75">
        <f t="shared" si="27"/>
        <v>4681.6666666666615</v>
      </c>
      <c r="E41" s="90">
        <f t="shared" si="28"/>
        <v>426031.6666666661</v>
      </c>
      <c r="F41" s="73"/>
      <c r="H41" s="72">
        <f t="shared" si="29"/>
        <v>29</v>
      </c>
      <c r="I41" s="77">
        <f t="shared" si="21"/>
        <v>8060.1978812573607</v>
      </c>
      <c r="J41" s="79">
        <f t="shared" si="30"/>
        <v>4833.3438813739658</v>
      </c>
      <c r="K41" s="77">
        <f t="shared" si="31"/>
        <v>3226.8539998833949</v>
      </c>
      <c r="L41" s="76">
        <f t="shared" si="32"/>
        <v>480107.53413751314</v>
      </c>
      <c r="M41" s="73"/>
      <c r="O41" s="73">
        <f t="shared" si="24"/>
        <v>91</v>
      </c>
    </row>
    <row r="42" spans="1:15" x14ac:dyDescent="0.2">
      <c r="A42" s="72">
        <f t="shared" si="25"/>
        <v>30</v>
      </c>
      <c r="B42" s="75">
        <f t="shared" si="22"/>
        <v>8941.9833333333227</v>
      </c>
      <c r="C42" s="78">
        <f t="shared" si="26"/>
        <v>4260.3166666666611</v>
      </c>
      <c r="D42" s="75">
        <f t="shared" si="27"/>
        <v>4681.6666666666615</v>
      </c>
      <c r="E42" s="90">
        <f t="shared" si="28"/>
        <v>421349.99999999942</v>
      </c>
      <c r="F42" s="73"/>
      <c r="H42" s="72">
        <f t="shared" si="29"/>
        <v>30</v>
      </c>
      <c r="I42" s="77">
        <f t="shared" si="21"/>
        <v>8060.1978812573607</v>
      </c>
      <c r="J42" s="79">
        <f t="shared" si="30"/>
        <v>4801.0753413751318</v>
      </c>
      <c r="K42" s="77">
        <f t="shared" si="31"/>
        <v>3259.1225398822289</v>
      </c>
      <c r="L42" s="76">
        <f t="shared" si="32"/>
        <v>476848.41159763088</v>
      </c>
      <c r="M42" s="73"/>
      <c r="O42" s="73">
        <f t="shared" si="24"/>
        <v>90</v>
      </c>
    </row>
    <row r="43" spans="1:15" x14ac:dyDescent="0.2">
      <c r="A43" s="72">
        <f t="shared" si="25"/>
        <v>31</v>
      </c>
      <c r="B43" s="75">
        <f t="shared" si="22"/>
        <v>8895.166666666657</v>
      </c>
      <c r="C43" s="78">
        <f t="shared" si="26"/>
        <v>4213.4999999999945</v>
      </c>
      <c r="D43" s="75">
        <f t="shared" si="27"/>
        <v>4681.6666666666615</v>
      </c>
      <c r="E43" s="90">
        <f t="shared" si="28"/>
        <v>416668.33333333273</v>
      </c>
      <c r="F43" s="73"/>
      <c r="H43" s="72">
        <f t="shared" si="29"/>
        <v>31</v>
      </c>
      <c r="I43" s="77">
        <f t="shared" si="21"/>
        <v>8060.1978812573607</v>
      </c>
      <c r="J43" s="80">
        <f t="shared" si="30"/>
        <v>4768.4841159763091</v>
      </c>
      <c r="K43" s="77">
        <f t="shared" si="31"/>
        <v>3291.7137652810516</v>
      </c>
      <c r="L43" s="76">
        <f t="shared" si="32"/>
        <v>473556.6978323498</v>
      </c>
      <c r="M43" s="73"/>
      <c r="O43" s="73">
        <f t="shared" si="24"/>
        <v>89</v>
      </c>
    </row>
    <row r="44" spans="1:15" x14ac:dyDescent="0.2">
      <c r="A44" s="72">
        <f t="shared" si="25"/>
        <v>32</v>
      </c>
      <c r="B44" s="75">
        <f t="shared" si="22"/>
        <v>8848.3499999999876</v>
      </c>
      <c r="C44" s="78">
        <f t="shared" si="26"/>
        <v>4166.683333333327</v>
      </c>
      <c r="D44" s="75">
        <f t="shared" si="27"/>
        <v>4681.6666666666615</v>
      </c>
      <c r="E44" s="90">
        <f t="shared" si="28"/>
        <v>411986.66666666605</v>
      </c>
      <c r="F44" s="73"/>
      <c r="H44" s="72">
        <f t="shared" si="29"/>
        <v>32</v>
      </c>
      <c r="I44" s="77">
        <f t="shared" si="21"/>
        <v>8060.1978812573607</v>
      </c>
      <c r="J44" s="80">
        <f t="shared" si="30"/>
        <v>4735.566978323498</v>
      </c>
      <c r="K44" s="77">
        <f t="shared" si="31"/>
        <v>3324.6309029338627</v>
      </c>
      <c r="L44" s="76">
        <f t="shared" si="32"/>
        <v>470232.06692941592</v>
      </c>
      <c r="M44" s="73"/>
      <c r="O44" s="73">
        <f t="shared" si="24"/>
        <v>88</v>
      </c>
    </row>
    <row r="45" spans="1:15" x14ac:dyDescent="0.2">
      <c r="A45" s="72">
        <f t="shared" si="25"/>
        <v>33</v>
      </c>
      <c r="B45" s="75">
        <f t="shared" si="22"/>
        <v>8801.5333333333219</v>
      </c>
      <c r="C45" s="78">
        <f t="shared" si="26"/>
        <v>4119.8666666666604</v>
      </c>
      <c r="D45" s="75">
        <f t="shared" si="27"/>
        <v>4681.6666666666615</v>
      </c>
      <c r="E45" s="90">
        <f t="shared" si="28"/>
        <v>407304.99999999936</v>
      </c>
      <c r="F45" s="73"/>
      <c r="H45" s="72">
        <f t="shared" si="29"/>
        <v>33</v>
      </c>
      <c r="I45" s="77">
        <f t="shared" si="21"/>
        <v>8060.1978812573607</v>
      </c>
      <c r="J45" s="80">
        <f t="shared" si="30"/>
        <v>4702.3206692941594</v>
      </c>
      <c r="K45" s="77">
        <f t="shared" si="31"/>
        <v>3357.8772119632013</v>
      </c>
      <c r="L45" s="76">
        <f t="shared" si="32"/>
        <v>466874.18971745274</v>
      </c>
      <c r="M45" s="73"/>
      <c r="O45" s="73">
        <f t="shared" si="24"/>
        <v>87</v>
      </c>
    </row>
    <row r="46" spans="1:15" x14ac:dyDescent="0.2">
      <c r="A46" s="72">
        <f t="shared" si="25"/>
        <v>34</v>
      </c>
      <c r="B46" s="75">
        <f t="shared" si="22"/>
        <v>8754.7166666666562</v>
      </c>
      <c r="C46" s="78">
        <f t="shared" si="26"/>
        <v>4073.0499999999938</v>
      </c>
      <c r="D46" s="75">
        <f t="shared" si="27"/>
        <v>4681.6666666666615</v>
      </c>
      <c r="E46" s="90">
        <f t="shared" si="28"/>
        <v>402623.33333333267</v>
      </c>
      <c r="F46" s="73"/>
      <c r="H46" s="72">
        <f t="shared" si="29"/>
        <v>34</v>
      </c>
      <c r="I46" s="77">
        <f t="shared" si="21"/>
        <v>8060.1978812573607</v>
      </c>
      <c r="J46" s="80">
        <f t="shared" si="30"/>
        <v>4668.7418971745274</v>
      </c>
      <c r="K46" s="77">
        <f t="shared" si="31"/>
        <v>3391.4559840828333</v>
      </c>
      <c r="L46" s="76">
        <f t="shared" si="32"/>
        <v>463482.73373336991</v>
      </c>
      <c r="M46" s="73"/>
      <c r="O46" s="73">
        <f t="shared" si="24"/>
        <v>86</v>
      </c>
    </row>
    <row r="47" spans="1:15" x14ac:dyDescent="0.2">
      <c r="A47" s="72">
        <f t="shared" si="25"/>
        <v>35</v>
      </c>
      <c r="B47" s="75">
        <f t="shared" si="22"/>
        <v>8707.8999999999887</v>
      </c>
      <c r="C47" s="78">
        <f t="shared" si="26"/>
        <v>4026.2333333333268</v>
      </c>
      <c r="D47" s="75">
        <f t="shared" si="27"/>
        <v>4681.6666666666615</v>
      </c>
      <c r="E47" s="90">
        <f t="shared" si="28"/>
        <v>397941.66666666599</v>
      </c>
      <c r="F47" s="73"/>
      <c r="H47" s="72">
        <f t="shared" si="29"/>
        <v>35</v>
      </c>
      <c r="I47" s="77">
        <f t="shared" si="21"/>
        <v>8060.1978812573607</v>
      </c>
      <c r="J47" s="80">
        <f t="shared" si="30"/>
        <v>4634.8273373336988</v>
      </c>
      <c r="K47" s="77">
        <f t="shared" si="31"/>
        <v>3425.3705439236619</v>
      </c>
      <c r="L47" s="76">
        <f t="shared" si="32"/>
        <v>460057.36318944627</v>
      </c>
      <c r="M47" s="73"/>
      <c r="O47" s="73">
        <f t="shared" si="24"/>
        <v>85</v>
      </c>
    </row>
    <row r="48" spans="1:15" x14ac:dyDescent="0.2">
      <c r="A48" s="93">
        <f t="shared" si="25"/>
        <v>36</v>
      </c>
      <c r="B48" s="94">
        <f t="shared" si="22"/>
        <v>8661.0833333333212</v>
      </c>
      <c r="C48" s="95">
        <f t="shared" si="26"/>
        <v>3979.4166666666601</v>
      </c>
      <c r="D48" s="94">
        <f t="shared" si="27"/>
        <v>4681.6666666666615</v>
      </c>
      <c r="E48" s="96">
        <f t="shared" si="28"/>
        <v>393259.9999999993</v>
      </c>
      <c r="F48" s="97">
        <f>E48*(1+$B$9)</f>
        <v>416855.59999999928</v>
      </c>
      <c r="H48" s="93">
        <f t="shared" si="29"/>
        <v>36</v>
      </c>
      <c r="I48" s="98">
        <f>I47</f>
        <v>8060.1978812573607</v>
      </c>
      <c r="J48" s="99">
        <f t="shared" si="30"/>
        <v>4600.5736318944628</v>
      </c>
      <c r="K48" s="98">
        <f t="shared" si="31"/>
        <v>3459.6242493628979</v>
      </c>
      <c r="L48" s="100">
        <f t="shared" si="32"/>
        <v>456597.73894008336</v>
      </c>
      <c r="M48" s="97">
        <f>L48*(1+$B$9)</f>
        <v>483993.60327648837</v>
      </c>
      <c r="O48" s="73">
        <f t="shared" si="24"/>
        <v>84</v>
      </c>
    </row>
    <row r="49" spans="1:15" x14ac:dyDescent="0.2">
      <c r="A49" s="72">
        <f>A48+1</f>
        <v>37</v>
      </c>
      <c r="B49" s="75">
        <f t="shared" ref="B49:B112" si="33">D49+C49</f>
        <v>9131.1226666666516</v>
      </c>
      <c r="C49" s="78">
        <f>F48*$B$6</f>
        <v>4168.5559999999932</v>
      </c>
      <c r="D49" s="75">
        <f>F48/O48</f>
        <v>4962.5666666666584</v>
      </c>
      <c r="E49" s="90">
        <f>F48-D49</f>
        <v>411893.03333333263</v>
      </c>
      <c r="F49" s="73"/>
      <c r="H49" s="72">
        <f>H48+1</f>
        <v>37</v>
      </c>
      <c r="I49" s="77">
        <f>PMT($I$6,$O48,-$M48)</f>
        <v>8543.8097541328007</v>
      </c>
      <c r="J49" s="79">
        <f>M48*$I$6</f>
        <v>4839.9360327648837</v>
      </c>
      <c r="K49" s="77">
        <f t="shared" si="31"/>
        <v>3703.8737213679169</v>
      </c>
      <c r="L49" s="76">
        <f>M48-K49</f>
        <v>480289.72955512046</v>
      </c>
      <c r="M49" s="73"/>
      <c r="O49" s="73">
        <f t="shared" si="24"/>
        <v>83</v>
      </c>
    </row>
    <row r="50" spans="1:15" x14ac:dyDescent="0.2">
      <c r="A50" s="72">
        <f t="shared" ref="A50:A113" si="34">A49+1</f>
        <v>38</v>
      </c>
      <c r="B50" s="75">
        <f t="shared" si="33"/>
        <v>9081.4969999999848</v>
      </c>
      <c r="C50" s="78">
        <f t="shared" ref="C50:C112" si="35">E49*$B$6</f>
        <v>4118.9303333333264</v>
      </c>
      <c r="D50" s="75">
        <f t="shared" ref="D50:D113" si="36">D49</f>
        <v>4962.5666666666584</v>
      </c>
      <c r="E50" s="90">
        <f t="shared" ref="E50:E112" si="37">E49-D50</f>
        <v>406930.46666666598</v>
      </c>
      <c r="F50" s="73"/>
      <c r="H50" s="72">
        <f t="shared" ref="H50:H113" si="38">H49+1</f>
        <v>38</v>
      </c>
      <c r="I50" s="77">
        <f t="shared" si="21"/>
        <v>8543.8097541328007</v>
      </c>
      <c r="J50" s="80">
        <f t="shared" ref="J50:J113" si="39">L49*$I$6</f>
        <v>4802.8972955512045</v>
      </c>
      <c r="K50" s="77">
        <f t="shared" ref="K50:K112" si="40">I50-J50</f>
        <v>3740.9124585815962</v>
      </c>
      <c r="L50" s="76">
        <f t="shared" ref="L50:L113" si="41">L49-K50</f>
        <v>476548.81709653884</v>
      </c>
      <c r="M50" s="73"/>
      <c r="O50" s="73">
        <f t="shared" si="24"/>
        <v>82</v>
      </c>
    </row>
    <row r="51" spans="1:15" x14ac:dyDescent="0.2">
      <c r="A51" s="72">
        <f t="shared" si="34"/>
        <v>39</v>
      </c>
      <c r="B51" s="75">
        <f t="shared" si="33"/>
        <v>9031.871333333318</v>
      </c>
      <c r="C51" s="78">
        <f t="shared" si="35"/>
        <v>4069.3046666666601</v>
      </c>
      <c r="D51" s="75">
        <f t="shared" si="36"/>
        <v>4962.5666666666584</v>
      </c>
      <c r="E51" s="90">
        <f t="shared" si="37"/>
        <v>401967.89999999932</v>
      </c>
      <c r="F51" s="73"/>
      <c r="H51" s="72">
        <f t="shared" si="38"/>
        <v>39</v>
      </c>
      <c r="I51" s="77">
        <f t="shared" si="21"/>
        <v>8543.8097541328007</v>
      </c>
      <c r="J51" s="80">
        <f t="shared" si="39"/>
        <v>4765.4881709653882</v>
      </c>
      <c r="K51" s="77">
        <f t="shared" si="40"/>
        <v>3778.3215831674124</v>
      </c>
      <c r="L51" s="76">
        <f t="shared" si="41"/>
        <v>472770.49551337142</v>
      </c>
      <c r="M51" s="73"/>
      <c r="O51" s="73">
        <f t="shared" si="24"/>
        <v>81</v>
      </c>
    </row>
    <row r="52" spans="1:15" x14ac:dyDescent="0.2">
      <c r="A52" s="72">
        <f t="shared" si="34"/>
        <v>40</v>
      </c>
      <c r="B52" s="75">
        <f t="shared" si="33"/>
        <v>8982.2456666666512</v>
      </c>
      <c r="C52" s="78">
        <f t="shared" si="35"/>
        <v>4019.6789999999933</v>
      </c>
      <c r="D52" s="75">
        <f t="shared" si="36"/>
        <v>4962.5666666666584</v>
      </c>
      <c r="E52" s="90">
        <f t="shared" si="37"/>
        <v>397005.33333333267</v>
      </c>
      <c r="F52" s="73"/>
      <c r="H52" s="72">
        <f t="shared" si="38"/>
        <v>40</v>
      </c>
      <c r="I52" s="77">
        <f t="shared" si="21"/>
        <v>8543.8097541328007</v>
      </c>
      <c r="J52" s="80">
        <f t="shared" si="39"/>
        <v>4727.7049551337141</v>
      </c>
      <c r="K52" s="77">
        <f t="shared" si="40"/>
        <v>3816.1047989990866</v>
      </c>
      <c r="L52" s="76">
        <f t="shared" si="41"/>
        <v>468954.39071437233</v>
      </c>
      <c r="M52" s="73"/>
      <c r="O52" s="73">
        <f t="shared" si="24"/>
        <v>80</v>
      </c>
    </row>
    <row r="53" spans="1:15" x14ac:dyDescent="0.2">
      <c r="A53" s="72">
        <f t="shared" si="34"/>
        <v>41</v>
      </c>
      <c r="B53" s="75">
        <f t="shared" si="33"/>
        <v>8932.6199999999844</v>
      </c>
      <c r="C53" s="78">
        <f t="shared" si="35"/>
        <v>3970.0533333333269</v>
      </c>
      <c r="D53" s="75">
        <f t="shared" si="36"/>
        <v>4962.5666666666584</v>
      </c>
      <c r="E53" s="90">
        <f t="shared" si="37"/>
        <v>392042.76666666602</v>
      </c>
      <c r="F53" s="73"/>
      <c r="H53" s="72">
        <f t="shared" si="38"/>
        <v>41</v>
      </c>
      <c r="I53" s="77">
        <f t="shared" si="21"/>
        <v>8543.8097541328007</v>
      </c>
      <c r="J53" s="80">
        <f t="shared" si="39"/>
        <v>4689.5439071437231</v>
      </c>
      <c r="K53" s="77">
        <f t="shared" si="40"/>
        <v>3854.2658469890775</v>
      </c>
      <c r="L53" s="76">
        <f t="shared" si="41"/>
        <v>465100.12486738327</v>
      </c>
      <c r="M53" s="73"/>
      <c r="O53" s="73">
        <f t="shared" si="24"/>
        <v>79</v>
      </c>
    </row>
    <row r="54" spans="1:15" x14ac:dyDescent="0.2">
      <c r="A54" s="72">
        <f t="shared" si="34"/>
        <v>42</v>
      </c>
      <c r="B54" s="75">
        <f t="shared" si="33"/>
        <v>8882.9943333333176</v>
      </c>
      <c r="C54" s="78">
        <f t="shared" si="35"/>
        <v>3920.4276666666601</v>
      </c>
      <c r="D54" s="75">
        <f t="shared" si="36"/>
        <v>4962.5666666666584</v>
      </c>
      <c r="E54" s="90">
        <f t="shared" si="37"/>
        <v>387080.19999999937</v>
      </c>
      <c r="F54" s="73"/>
      <c r="H54" s="72">
        <f t="shared" si="38"/>
        <v>42</v>
      </c>
      <c r="I54" s="77">
        <f t="shared" si="21"/>
        <v>8543.8097541328007</v>
      </c>
      <c r="J54" s="80">
        <f t="shared" si="39"/>
        <v>4651.0012486738333</v>
      </c>
      <c r="K54" s="77">
        <f t="shared" si="40"/>
        <v>3892.8085054589674</v>
      </c>
      <c r="L54" s="76">
        <f t="shared" si="41"/>
        <v>461207.31636192428</v>
      </c>
      <c r="M54" s="73"/>
      <c r="O54" s="73">
        <f t="shared" si="24"/>
        <v>78</v>
      </c>
    </row>
    <row r="55" spans="1:15" x14ac:dyDescent="0.2">
      <c r="A55" s="72">
        <f t="shared" si="34"/>
        <v>43</v>
      </c>
      <c r="B55" s="75">
        <f t="shared" si="33"/>
        <v>8833.3686666666526</v>
      </c>
      <c r="C55" s="78">
        <f t="shared" si="35"/>
        <v>3870.8019999999938</v>
      </c>
      <c r="D55" s="75">
        <f t="shared" si="36"/>
        <v>4962.5666666666584</v>
      </c>
      <c r="E55" s="90">
        <f t="shared" si="37"/>
        <v>382117.63333333272</v>
      </c>
      <c r="F55" s="73"/>
      <c r="H55" s="72">
        <f t="shared" si="38"/>
        <v>43</v>
      </c>
      <c r="I55" s="77">
        <f t="shared" si="21"/>
        <v>8543.8097541328007</v>
      </c>
      <c r="J55" s="80">
        <f t="shared" si="39"/>
        <v>4612.0731636192431</v>
      </c>
      <c r="K55" s="77">
        <f t="shared" si="40"/>
        <v>3931.7365905135575</v>
      </c>
      <c r="L55" s="76">
        <f t="shared" si="41"/>
        <v>457275.57977141073</v>
      </c>
      <c r="M55" s="73"/>
      <c r="O55" s="73">
        <f t="shared" si="24"/>
        <v>77</v>
      </c>
    </row>
    <row r="56" spans="1:15" x14ac:dyDescent="0.2">
      <c r="A56" s="72">
        <f t="shared" si="34"/>
        <v>44</v>
      </c>
      <c r="B56" s="75">
        <f t="shared" si="33"/>
        <v>8783.7429999999858</v>
      </c>
      <c r="C56" s="78">
        <f t="shared" si="35"/>
        <v>3821.1763333333274</v>
      </c>
      <c r="D56" s="75">
        <f t="shared" si="36"/>
        <v>4962.5666666666584</v>
      </c>
      <c r="E56" s="90">
        <f t="shared" si="37"/>
        <v>377155.06666666607</v>
      </c>
      <c r="F56" s="73"/>
      <c r="H56" s="72">
        <f t="shared" si="38"/>
        <v>44</v>
      </c>
      <c r="I56" s="77">
        <f t="shared" si="21"/>
        <v>8543.8097541328007</v>
      </c>
      <c r="J56" s="80">
        <f t="shared" si="39"/>
        <v>4572.7557977141078</v>
      </c>
      <c r="K56" s="77">
        <f t="shared" si="40"/>
        <v>3971.0539564186929</v>
      </c>
      <c r="L56" s="76">
        <f t="shared" si="41"/>
        <v>453304.52581499203</v>
      </c>
      <c r="M56" s="73"/>
      <c r="O56" s="73">
        <f t="shared" si="24"/>
        <v>76</v>
      </c>
    </row>
    <row r="57" spans="1:15" x14ac:dyDescent="0.2">
      <c r="A57" s="72">
        <f t="shared" si="34"/>
        <v>45</v>
      </c>
      <c r="B57" s="75">
        <f t="shared" si="33"/>
        <v>8734.117333333319</v>
      </c>
      <c r="C57" s="78">
        <f t="shared" si="35"/>
        <v>3771.5506666666606</v>
      </c>
      <c r="D57" s="75">
        <f t="shared" si="36"/>
        <v>4962.5666666666584</v>
      </c>
      <c r="E57" s="90">
        <f t="shared" si="37"/>
        <v>372192.49999999942</v>
      </c>
      <c r="F57" s="73"/>
      <c r="H57" s="72">
        <f t="shared" si="38"/>
        <v>45</v>
      </c>
      <c r="I57" s="77">
        <f t="shared" si="21"/>
        <v>8543.8097541328007</v>
      </c>
      <c r="J57" s="80">
        <f t="shared" si="39"/>
        <v>4533.0452581499203</v>
      </c>
      <c r="K57" s="77">
        <f t="shared" si="40"/>
        <v>4010.7644959828804</v>
      </c>
      <c r="L57" s="76">
        <f t="shared" si="41"/>
        <v>449293.76131900912</v>
      </c>
      <c r="M57" s="73"/>
      <c r="O57" s="73">
        <f t="shared" si="24"/>
        <v>75</v>
      </c>
    </row>
    <row r="58" spans="1:15" x14ac:dyDescent="0.2">
      <c r="A58" s="72">
        <f t="shared" si="34"/>
        <v>46</v>
      </c>
      <c r="B58" s="75">
        <f t="shared" si="33"/>
        <v>8684.4916666666522</v>
      </c>
      <c r="C58" s="78">
        <f t="shared" si="35"/>
        <v>3721.9249999999943</v>
      </c>
      <c r="D58" s="75">
        <f t="shared" si="36"/>
        <v>4962.5666666666584</v>
      </c>
      <c r="E58" s="90">
        <f t="shared" si="37"/>
        <v>367229.93333333277</v>
      </c>
      <c r="F58" s="73"/>
      <c r="H58" s="72">
        <f t="shared" si="38"/>
        <v>46</v>
      </c>
      <c r="I58" s="77">
        <f t="shared" si="21"/>
        <v>8543.8097541328007</v>
      </c>
      <c r="J58" s="80">
        <f t="shared" si="39"/>
        <v>4492.9376131900917</v>
      </c>
      <c r="K58" s="77">
        <f t="shared" si="40"/>
        <v>4050.8721409427089</v>
      </c>
      <c r="L58" s="76">
        <f t="shared" si="41"/>
        <v>445242.8891780664</v>
      </c>
      <c r="M58" s="73"/>
      <c r="O58" s="73">
        <f t="shared" si="24"/>
        <v>74</v>
      </c>
    </row>
    <row r="59" spans="1:15" x14ac:dyDescent="0.2">
      <c r="A59" s="72">
        <f t="shared" si="34"/>
        <v>47</v>
      </c>
      <c r="B59" s="75">
        <f t="shared" si="33"/>
        <v>8634.8659999999873</v>
      </c>
      <c r="C59" s="78">
        <f t="shared" si="35"/>
        <v>3672.2993333333279</v>
      </c>
      <c r="D59" s="75">
        <f t="shared" si="36"/>
        <v>4962.5666666666584</v>
      </c>
      <c r="E59" s="90">
        <f t="shared" si="37"/>
        <v>362267.36666666612</v>
      </c>
      <c r="F59" s="73"/>
      <c r="H59" s="72">
        <f t="shared" si="38"/>
        <v>47</v>
      </c>
      <c r="I59" s="77">
        <f t="shared" si="21"/>
        <v>8543.8097541328007</v>
      </c>
      <c r="J59" s="80">
        <f t="shared" si="39"/>
        <v>4452.4288917806643</v>
      </c>
      <c r="K59" s="77">
        <f t="shared" si="40"/>
        <v>4091.3808623521363</v>
      </c>
      <c r="L59" s="76">
        <f t="shared" si="41"/>
        <v>441151.50831571425</v>
      </c>
      <c r="M59" s="73"/>
      <c r="O59" s="73">
        <f t="shared" si="24"/>
        <v>73</v>
      </c>
    </row>
    <row r="60" spans="1:15" x14ac:dyDescent="0.2">
      <c r="A60" s="93">
        <f t="shared" si="34"/>
        <v>48</v>
      </c>
      <c r="B60" s="94">
        <f t="shared" si="33"/>
        <v>8585.2403333333205</v>
      </c>
      <c r="C60" s="95">
        <f t="shared" si="35"/>
        <v>3622.6736666666611</v>
      </c>
      <c r="D60" s="94">
        <f t="shared" si="36"/>
        <v>4962.5666666666584</v>
      </c>
      <c r="E60" s="96">
        <f t="shared" si="37"/>
        <v>357304.79999999946</v>
      </c>
      <c r="F60" s="97">
        <f>E60*(1+$B$9)</f>
        <v>378743.08799999946</v>
      </c>
      <c r="H60" s="93">
        <f t="shared" si="38"/>
        <v>48</v>
      </c>
      <c r="I60" s="98">
        <f>I59</f>
        <v>8543.8097541328007</v>
      </c>
      <c r="J60" s="99">
        <f t="shared" si="39"/>
        <v>4411.5150831571427</v>
      </c>
      <c r="K60" s="98">
        <f t="shared" si="40"/>
        <v>4132.2946709756579</v>
      </c>
      <c r="L60" s="100">
        <f t="shared" si="41"/>
        <v>437019.2136447386</v>
      </c>
      <c r="M60" s="97">
        <f>L60*(1+$B$9)</f>
        <v>463240.36646342295</v>
      </c>
      <c r="O60" s="73">
        <f t="shared" si="24"/>
        <v>72</v>
      </c>
    </row>
    <row r="61" spans="1:15" x14ac:dyDescent="0.2">
      <c r="A61" s="72">
        <f t="shared" si="34"/>
        <v>49</v>
      </c>
      <c r="B61" s="75">
        <f t="shared" si="33"/>
        <v>9047.7515466666537</v>
      </c>
      <c r="C61" s="78">
        <f>F60*$B$6</f>
        <v>3787.4308799999949</v>
      </c>
      <c r="D61" s="75">
        <f>F60/O60</f>
        <v>5260.3206666666592</v>
      </c>
      <c r="E61" s="90">
        <f>F60-D61</f>
        <v>373482.7673333328</v>
      </c>
      <c r="F61" s="73"/>
      <c r="H61" s="72">
        <f t="shared" si="38"/>
        <v>49</v>
      </c>
      <c r="I61" s="77">
        <f>PMT($I$6,$O60,-$M60)</f>
        <v>9056.4383393807693</v>
      </c>
      <c r="J61" s="79">
        <f>M60*$I$6</f>
        <v>4632.4036646342292</v>
      </c>
      <c r="K61" s="77">
        <f t="shared" si="40"/>
        <v>4424.0346747465401</v>
      </c>
      <c r="L61" s="76">
        <f>M60-K61</f>
        <v>458816.33178867638</v>
      </c>
      <c r="M61" s="73"/>
      <c r="O61" s="73">
        <f t="shared" si="24"/>
        <v>71</v>
      </c>
    </row>
    <row r="62" spans="1:15" x14ac:dyDescent="0.2">
      <c r="A62" s="72">
        <f t="shared" si="34"/>
        <v>50</v>
      </c>
      <c r="B62" s="75">
        <f t="shared" si="33"/>
        <v>8995.148339999987</v>
      </c>
      <c r="C62" s="78">
        <f t="shared" si="35"/>
        <v>3734.8276733333282</v>
      </c>
      <c r="D62" s="75">
        <f t="shared" si="36"/>
        <v>5260.3206666666592</v>
      </c>
      <c r="E62" s="90">
        <f t="shared" si="37"/>
        <v>368222.44666666613</v>
      </c>
      <c r="F62" s="73"/>
      <c r="H62" s="72">
        <f t="shared" si="38"/>
        <v>50</v>
      </c>
      <c r="I62" s="77">
        <f t="shared" si="21"/>
        <v>9056.4383393807693</v>
      </c>
      <c r="J62" s="80">
        <f t="shared" si="39"/>
        <v>4588.1633178867642</v>
      </c>
      <c r="K62" s="77">
        <f t="shared" si="40"/>
        <v>4468.2750214940052</v>
      </c>
      <c r="L62" s="76">
        <f t="shared" si="41"/>
        <v>454348.05676718237</v>
      </c>
      <c r="M62" s="73"/>
      <c r="O62" s="73">
        <f t="shared" si="24"/>
        <v>70</v>
      </c>
    </row>
    <row r="63" spans="1:15" x14ac:dyDescent="0.2">
      <c r="A63" s="72">
        <f t="shared" si="34"/>
        <v>51</v>
      </c>
      <c r="B63" s="75">
        <f t="shared" si="33"/>
        <v>8942.5451333333203</v>
      </c>
      <c r="C63" s="78">
        <f t="shared" si="35"/>
        <v>3682.2244666666616</v>
      </c>
      <c r="D63" s="75">
        <f t="shared" si="36"/>
        <v>5260.3206666666592</v>
      </c>
      <c r="E63" s="90">
        <f t="shared" si="37"/>
        <v>362962.12599999947</v>
      </c>
      <c r="F63" s="73"/>
      <c r="H63" s="72">
        <f t="shared" si="38"/>
        <v>51</v>
      </c>
      <c r="I63" s="77">
        <f t="shared" si="21"/>
        <v>9056.4383393807693</v>
      </c>
      <c r="J63" s="80">
        <f t="shared" si="39"/>
        <v>4543.4805676718233</v>
      </c>
      <c r="K63" s="77">
        <f t="shared" si="40"/>
        <v>4512.957771708946</v>
      </c>
      <c r="L63" s="76">
        <f t="shared" si="41"/>
        <v>449835.09899547341</v>
      </c>
      <c r="M63" s="73"/>
      <c r="O63" s="73">
        <f t="shared" si="24"/>
        <v>69</v>
      </c>
    </row>
    <row r="64" spans="1:15" x14ac:dyDescent="0.2">
      <c r="A64" s="72">
        <f t="shared" si="34"/>
        <v>52</v>
      </c>
      <c r="B64" s="75">
        <f t="shared" si="33"/>
        <v>8889.9419266666537</v>
      </c>
      <c r="C64" s="78">
        <f t="shared" si="35"/>
        <v>3629.6212599999949</v>
      </c>
      <c r="D64" s="75">
        <f t="shared" si="36"/>
        <v>5260.3206666666592</v>
      </c>
      <c r="E64" s="90">
        <f t="shared" si="37"/>
        <v>357701.8053333328</v>
      </c>
      <c r="F64" s="73"/>
      <c r="H64" s="72">
        <f t="shared" si="38"/>
        <v>52</v>
      </c>
      <c r="I64" s="77">
        <f t="shared" si="21"/>
        <v>9056.4383393807693</v>
      </c>
      <c r="J64" s="80">
        <f t="shared" si="39"/>
        <v>4498.3509899547344</v>
      </c>
      <c r="K64" s="77">
        <f t="shared" si="40"/>
        <v>4558.087349426035</v>
      </c>
      <c r="L64" s="76">
        <f t="shared" si="41"/>
        <v>445277.01164604735</v>
      </c>
      <c r="M64" s="73"/>
      <c r="O64" s="73">
        <f t="shared" si="24"/>
        <v>68</v>
      </c>
    </row>
    <row r="65" spans="1:15" x14ac:dyDescent="0.2">
      <c r="A65" s="72">
        <f t="shared" si="34"/>
        <v>53</v>
      </c>
      <c r="B65" s="75">
        <f t="shared" si="33"/>
        <v>8837.338719999987</v>
      </c>
      <c r="C65" s="78">
        <f t="shared" si="35"/>
        <v>3577.0180533333282</v>
      </c>
      <c r="D65" s="75">
        <f t="shared" si="36"/>
        <v>5260.3206666666592</v>
      </c>
      <c r="E65" s="90">
        <f t="shared" si="37"/>
        <v>352441.48466666613</v>
      </c>
      <c r="F65" s="73"/>
      <c r="H65" s="72">
        <f t="shared" si="38"/>
        <v>53</v>
      </c>
      <c r="I65" s="77">
        <f t="shared" si="21"/>
        <v>9056.4383393807693</v>
      </c>
      <c r="J65" s="80">
        <f t="shared" si="39"/>
        <v>4452.7701164604732</v>
      </c>
      <c r="K65" s="77">
        <f t="shared" si="40"/>
        <v>4603.6682229202961</v>
      </c>
      <c r="L65" s="76">
        <f t="shared" si="41"/>
        <v>440673.34342312708</v>
      </c>
      <c r="M65" s="73"/>
      <c r="O65" s="73">
        <f t="shared" si="24"/>
        <v>67</v>
      </c>
    </row>
    <row r="66" spans="1:15" x14ac:dyDescent="0.2">
      <c r="A66" s="72">
        <f t="shared" si="34"/>
        <v>54</v>
      </c>
      <c r="B66" s="75">
        <f t="shared" si="33"/>
        <v>8784.7355133333203</v>
      </c>
      <c r="C66" s="78">
        <f t="shared" si="35"/>
        <v>3524.4148466666616</v>
      </c>
      <c r="D66" s="75">
        <f t="shared" si="36"/>
        <v>5260.3206666666592</v>
      </c>
      <c r="E66" s="90">
        <f t="shared" si="37"/>
        <v>347181.16399999947</v>
      </c>
      <c r="F66" s="73"/>
      <c r="H66" s="72">
        <f t="shared" si="38"/>
        <v>54</v>
      </c>
      <c r="I66" s="77">
        <f t="shared" si="21"/>
        <v>9056.4383393807693</v>
      </c>
      <c r="J66" s="80">
        <f t="shared" si="39"/>
        <v>4406.7334342312706</v>
      </c>
      <c r="K66" s="77">
        <f t="shared" si="40"/>
        <v>4649.7049051494987</v>
      </c>
      <c r="L66" s="76">
        <f t="shared" si="41"/>
        <v>436023.63851797755</v>
      </c>
      <c r="M66" s="73"/>
      <c r="O66" s="73">
        <f t="shared" si="24"/>
        <v>66</v>
      </c>
    </row>
    <row r="67" spans="1:15" x14ac:dyDescent="0.2">
      <c r="A67" s="72">
        <f t="shared" si="34"/>
        <v>55</v>
      </c>
      <c r="B67" s="75">
        <f t="shared" si="33"/>
        <v>8732.1323066666537</v>
      </c>
      <c r="C67" s="78">
        <f t="shared" si="35"/>
        <v>3471.8116399999949</v>
      </c>
      <c r="D67" s="75">
        <f t="shared" si="36"/>
        <v>5260.3206666666592</v>
      </c>
      <c r="E67" s="90">
        <f t="shared" si="37"/>
        <v>341920.8433333328</v>
      </c>
      <c r="F67" s="73"/>
      <c r="H67" s="72">
        <f t="shared" si="38"/>
        <v>55</v>
      </c>
      <c r="I67" s="77">
        <f t="shared" si="21"/>
        <v>9056.4383393807693</v>
      </c>
      <c r="J67" s="80">
        <f t="shared" si="39"/>
        <v>4360.2363851797754</v>
      </c>
      <c r="K67" s="77">
        <f t="shared" si="40"/>
        <v>4696.2019542009939</v>
      </c>
      <c r="L67" s="76">
        <f t="shared" si="41"/>
        <v>431327.43656377657</v>
      </c>
      <c r="M67" s="73"/>
      <c r="O67" s="73">
        <f t="shared" si="24"/>
        <v>65</v>
      </c>
    </row>
    <row r="68" spans="1:15" x14ac:dyDescent="0.2">
      <c r="A68" s="72">
        <f t="shared" si="34"/>
        <v>56</v>
      </c>
      <c r="B68" s="75">
        <f t="shared" si="33"/>
        <v>8679.529099999987</v>
      </c>
      <c r="C68" s="78">
        <f t="shared" si="35"/>
        <v>3419.2084333333282</v>
      </c>
      <c r="D68" s="75">
        <f t="shared" si="36"/>
        <v>5260.3206666666592</v>
      </c>
      <c r="E68" s="90">
        <f t="shared" si="37"/>
        <v>336660.52266666613</v>
      </c>
      <c r="F68" s="73"/>
      <c r="H68" s="72">
        <f t="shared" si="38"/>
        <v>56</v>
      </c>
      <c r="I68" s="77">
        <f t="shared" si="21"/>
        <v>9056.4383393807693</v>
      </c>
      <c r="J68" s="80">
        <f t="shared" si="39"/>
        <v>4313.2743656377661</v>
      </c>
      <c r="K68" s="77">
        <f t="shared" si="40"/>
        <v>4743.1639737430032</v>
      </c>
      <c r="L68" s="76">
        <f t="shared" si="41"/>
        <v>426584.27259003359</v>
      </c>
      <c r="M68" s="73"/>
      <c r="O68" s="73">
        <f t="shared" si="24"/>
        <v>64</v>
      </c>
    </row>
    <row r="69" spans="1:15" x14ac:dyDescent="0.2">
      <c r="A69" s="72">
        <f t="shared" si="34"/>
        <v>57</v>
      </c>
      <c r="B69" s="75">
        <f t="shared" si="33"/>
        <v>8626.9258933333203</v>
      </c>
      <c r="C69" s="78">
        <f t="shared" si="35"/>
        <v>3366.6052266666616</v>
      </c>
      <c r="D69" s="75">
        <f t="shared" si="36"/>
        <v>5260.3206666666592</v>
      </c>
      <c r="E69" s="90">
        <f t="shared" si="37"/>
        <v>331400.20199999947</v>
      </c>
      <c r="F69" s="73"/>
      <c r="H69" s="72">
        <f t="shared" si="38"/>
        <v>57</v>
      </c>
      <c r="I69" s="77">
        <f t="shared" si="21"/>
        <v>9056.4383393807693</v>
      </c>
      <c r="J69" s="80">
        <f t="shared" si="39"/>
        <v>4265.8427259003356</v>
      </c>
      <c r="K69" s="77">
        <f t="shared" si="40"/>
        <v>4790.5956134804337</v>
      </c>
      <c r="L69" s="76">
        <f t="shared" si="41"/>
        <v>421793.67697655316</v>
      </c>
      <c r="M69" s="73"/>
      <c r="O69" s="73">
        <f t="shared" si="24"/>
        <v>63</v>
      </c>
    </row>
    <row r="70" spans="1:15" x14ac:dyDescent="0.2">
      <c r="A70" s="72">
        <f t="shared" si="34"/>
        <v>58</v>
      </c>
      <c r="B70" s="75">
        <f t="shared" si="33"/>
        <v>8574.3226866666537</v>
      </c>
      <c r="C70" s="78">
        <f t="shared" si="35"/>
        <v>3314.0020199999949</v>
      </c>
      <c r="D70" s="75">
        <f t="shared" si="36"/>
        <v>5260.3206666666592</v>
      </c>
      <c r="E70" s="90">
        <f t="shared" si="37"/>
        <v>326139.8813333328</v>
      </c>
      <c r="F70" s="73"/>
      <c r="H70" s="72">
        <f t="shared" si="38"/>
        <v>58</v>
      </c>
      <c r="I70" s="77">
        <f t="shared" si="21"/>
        <v>9056.4383393807693</v>
      </c>
      <c r="J70" s="80">
        <f t="shared" si="39"/>
        <v>4217.9367697655316</v>
      </c>
      <c r="K70" s="77">
        <f t="shared" si="40"/>
        <v>4838.5015696152377</v>
      </c>
      <c r="L70" s="76">
        <f t="shared" si="41"/>
        <v>416955.17540693795</v>
      </c>
      <c r="M70" s="73"/>
      <c r="O70" s="73">
        <f t="shared" si="24"/>
        <v>62</v>
      </c>
    </row>
    <row r="71" spans="1:15" x14ac:dyDescent="0.2">
      <c r="A71" s="72">
        <f t="shared" si="34"/>
        <v>59</v>
      </c>
      <c r="B71" s="75">
        <f t="shared" si="33"/>
        <v>8521.719479999987</v>
      </c>
      <c r="C71" s="78">
        <f t="shared" si="35"/>
        <v>3261.3988133333282</v>
      </c>
      <c r="D71" s="75">
        <f t="shared" si="36"/>
        <v>5260.3206666666592</v>
      </c>
      <c r="E71" s="90">
        <f t="shared" si="37"/>
        <v>320879.56066666613</v>
      </c>
      <c r="F71" s="73"/>
      <c r="H71" s="72">
        <f t="shared" si="38"/>
        <v>59</v>
      </c>
      <c r="I71" s="77">
        <f t="shared" si="21"/>
        <v>9056.4383393807693</v>
      </c>
      <c r="J71" s="80">
        <f t="shared" si="39"/>
        <v>4169.55175406938</v>
      </c>
      <c r="K71" s="77">
        <f t="shared" si="40"/>
        <v>4886.8865853113894</v>
      </c>
      <c r="L71" s="76">
        <f t="shared" si="41"/>
        <v>412068.28882162657</v>
      </c>
      <c r="M71" s="73"/>
      <c r="O71" s="73">
        <f t="shared" si="24"/>
        <v>61</v>
      </c>
    </row>
    <row r="72" spans="1:15" x14ac:dyDescent="0.2">
      <c r="A72" s="93">
        <f t="shared" si="34"/>
        <v>60</v>
      </c>
      <c r="B72" s="94">
        <f t="shared" si="33"/>
        <v>8469.1162733333204</v>
      </c>
      <c r="C72" s="95">
        <f t="shared" si="35"/>
        <v>3208.7956066666616</v>
      </c>
      <c r="D72" s="94">
        <f t="shared" si="36"/>
        <v>5260.3206666666592</v>
      </c>
      <c r="E72" s="96">
        <f t="shared" si="37"/>
        <v>315619.23999999947</v>
      </c>
      <c r="F72" s="97">
        <f>E72*(1+$B$9)</f>
        <v>334556.39439999947</v>
      </c>
      <c r="H72" s="93">
        <f t="shared" ref="H72:H73" si="42">H71+1</f>
        <v>60</v>
      </c>
      <c r="I72" s="98">
        <f>I71</f>
        <v>9056.4383393807693</v>
      </c>
      <c r="J72" s="99">
        <f t="shared" ref="J72" si="43">L71*$I$6</f>
        <v>4120.6828882162654</v>
      </c>
      <c r="K72" s="98">
        <f t="shared" ref="K72:K73" si="44">I72-J72</f>
        <v>4935.7554511645039</v>
      </c>
      <c r="L72" s="100">
        <f t="shared" ref="L72" si="45">L71-K72</f>
        <v>407132.53337046207</v>
      </c>
      <c r="M72" s="97">
        <f>L72*(1+$B$9)</f>
        <v>431560.48537268984</v>
      </c>
      <c r="O72" s="73">
        <f t="shared" si="24"/>
        <v>60</v>
      </c>
    </row>
    <row r="73" spans="1:15" x14ac:dyDescent="0.2">
      <c r="A73" s="72">
        <f t="shared" si="34"/>
        <v>61</v>
      </c>
      <c r="B73" s="75">
        <f t="shared" si="33"/>
        <v>8921.5038506666515</v>
      </c>
      <c r="C73" s="78">
        <f>F72*$B$6</f>
        <v>3345.5639439999945</v>
      </c>
      <c r="D73" s="75">
        <f>F72/O72</f>
        <v>5575.9399066666574</v>
      </c>
      <c r="E73" s="90">
        <f>F72-D73</f>
        <v>328980.45449333283</v>
      </c>
      <c r="F73" s="73"/>
      <c r="H73" s="72">
        <f t="shared" si="42"/>
        <v>61</v>
      </c>
      <c r="I73" s="77">
        <f>PMT($I$6,$O72,-$M72)</f>
        <v>9599.824639743616</v>
      </c>
      <c r="J73" s="79">
        <f>M72*$I$6</f>
        <v>4315.6048537268989</v>
      </c>
      <c r="K73" s="77">
        <f t="shared" si="44"/>
        <v>5284.2197860167171</v>
      </c>
      <c r="L73" s="76">
        <f>M72-K73</f>
        <v>426276.26558667311</v>
      </c>
      <c r="M73" s="73"/>
      <c r="O73" s="73">
        <f t="shared" si="24"/>
        <v>59</v>
      </c>
    </row>
    <row r="74" spans="1:15" x14ac:dyDescent="0.2">
      <c r="A74" s="72">
        <f t="shared" si="34"/>
        <v>62</v>
      </c>
      <c r="B74" s="75">
        <f t="shared" si="33"/>
        <v>8865.744451599985</v>
      </c>
      <c r="C74" s="78">
        <f t="shared" si="35"/>
        <v>3289.8045449333285</v>
      </c>
      <c r="D74" s="75">
        <f t="shared" si="36"/>
        <v>5575.9399066666574</v>
      </c>
      <c r="E74" s="90">
        <f t="shared" si="37"/>
        <v>323404.51458666619</v>
      </c>
      <c r="F74" s="73"/>
      <c r="H74" s="72">
        <f t="shared" si="38"/>
        <v>62</v>
      </c>
      <c r="I74" s="77">
        <f t="shared" si="21"/>
        <v>9599.824639743616</v>
      </c>
      <c r="J74" s="80">
        <f t="shared" si="39"/>
        <v>4262.7626558667307</v>
      </c>
      <c r="K74" s="77">
        <f t="shared" si="40"/>
        <v>5337.0619838768853</v>
      </c>
      <c r="L74" s="76">
        <f t="shared" si="41"/>
        <v>420939.20360279625</v>
      </c>
      <c r="M74" s="73"/>
      <c r="O74" s="73">
        <f t="shared" si="24"/>
        <v>58</v>
      </c>
    </row>
    <row r="75" spans="1:15" x14ac:dyDescent="0.2">
      <c r="A75" s="72">
        <f t="shared" si="34"/>
        <v>63</v>
      </c>
      <c r="B75" s="75">
        <f t="shared" si="33"/>
        <v>8809.9850525333204</v>
      </c>
      <c r="C75" s="78">
        <f t="shared" si="35"/>
        <v>3234.0451458666621</v>
      </c>
      <c r="D75" s="75">
        <f t="shared" si="36"/>
        <v>5575.9399066666574</v>
      </c>
      <c r="E75" s="90">
        <f t="shared" si="37"/>
        <v>317828.57467999955</v>
      </c>
      <c r="F75" s="73"/>
      <c r="H75" s="72">
        <f t="shared" si="38"/>
        <v>63</v>
      </c>
      <c r="I75" s="77">
        <f t="shared" si="21"/>
        <v>9599.824639743616</v>
      </c>
      <c r="J75" s="80">
        <f t="shared" si="39"/>
        <v>4209.3920360279626</v>
      </c>
      <c r="K75" s="77">
        <f t="shared" si="40"/>
        <v>5390.4326037156534</v>
      </c>
      <c r="L75" s="76">
        <f t="shared" si="41"/>
        <v>415548.77099908062</v>
      </c>
      <c r="M75" s="73"/>
      <c r="O75" s="73">
        <f t="shared" si="24"/>
        <v>57</v>
      </c>
    </row>
    <row r="76" spans="1:15" x14ac:dyDescent="0.2">
      <c r="A76" s="72">
        <f t="shared" si="34"/>
        <v>64</v>
      </c>
      <c r="B76" s="75">
        <f t="shared" si="33"/>
        <v>8754.2256534666521</v>
      </c>
      <c r="C76" s="78">
        <f t="shared" si="35"/>
        <v>3178.2857467999956</v>
      </c>
      <c r="D76" s="75">
        <f t="shared" si="36"/>
        <v>5575.9399066666574</v>
      </c>
      <c r="E76" s="90">
        <f t="shared" si="37"/>
        <v>312252.63477333292</v>
      </c>
      <c r="F76" s="73"/>
      <c r="H76" s="72">
        <f t="shared" si="38"/>
        <v>64</v>
      </c>
      <c r="I76" s="77">
        <f t="shared" si="21"/>
        <v>9599.824639743616</v>
      </c>
      <c r="J76" s="80">
        <f t="shared" si="39"/>
        <v>4155.4877099908063</v>
      </c>
      <c r="K76" s="77">
        <f t="shared" si="40"/>
        <v>5444.3369297528097</v>
      </c>
      <c r="L76" s="76">
        <f t="shared" si="41"/>
        <v>410104.43406932784</v>
      </c>
      <c r="M76" s="73"/>
      <c r="O76" s="73">
        <f t="shared" si="24"/>
        <v>56</v>
      </c>
    </row>
    <row r="77" spans="1:15" x14ac:dyDescent="0.2">
      <c r="A77" s="72">
        <f t="shared" si="34"/>
        <v>65</v>
      </c>
      <c r="B77" s="75">
        <f t="shared" si="33"/>
        <v>8698.4662543999875</v>
      </c>
      <c r="C77" s="78">
        <f t="shared" si="35"/>
        <v>3122.5263477333292</v>
      </c>
      <c r="D77" s="75">
        <f t="shared" si="36"/>
        <v>5575.9399066666574</v>
      </c>
      <c r="E77" s="90">
        <f t="shared" si="37"/>
        <v>306676.69486666628</v>
      </c>
      <c r="F77" s="73"/>
      <c r="H77" s="72">
        <f t="shared" si="38"/>
        <v>65</v>
      </c>
      <c r="I77" s="77">
        <f t="shared" si="21"/>
        <v>9599.824639743616</v>
      </c>
      <c r="J77" s="80">
        <f t="shared" si="39"/>
        <v>4101.0443406932782</v>
      </c>
      <c r="K77" s="77">
        <f t="shared" si="40"/>
        <v>5498.7802990503378</v>
      </c>
      <c r="L77" s="76">
        <f t="shared" si="41"/>
        <v>404605.65377027751</v>
      </c>
      <c r="M77" s="73"/>
      <c r="O77" s="73">
        <f t="shared" si="24"/>
        <v>55</v>
      </c>
    </row>
    <row r="78" spans="1:15" x14ac:dyDescent="0.2">
      <c r="A78" s="72">
        <f t="shared" si="34"/>
        <v>66</v>
      </c>
      <c r="B78" s="75">
        <f t="shared" si="33"/>
        <v>8642.7068553333193</v>
      </c>
      <c r="C78" s="78">
        <f t="shared" si="35"/>
        <v>3066.7669486666628</v>
      </c>
      <c r="D78" s="75">
        <f t="shared" si="36"/>
        <v>5575.9399066666574</v>
      </c>
      <c r="E78" s="90">
        <f t="shared" si="37"/>
        <v>301100.75495999964</v>
      </c>
      <c r="F78" s="73"/>
      <c r="H78" s="72">
        <f t="shared" si="38"/>
        <v>66</v>
      </c>
      <c r="I78" s="77">
        <f t="shared" si="21"/>
        <v>9599.824639743616</v>
      </c>
      <c r="J78" s="80">
        <f t="shared" si="39"/>
        <v>4046.0565377027751</v>
      </c>
      <c r="K78" s="77">
        <f t="shared" si="40"/>
        <v>5553.7681020408409</v>
      </c>
      <c r="L78" s="76">
        <f t="shared" si="41"/>
        <v>399051.88566823665</v>
      </c>
      <c r="M78" s="73"/>
      <c r="O78" s="73">
        <f t="shared" si="24"/>
        <v>54</v>
      </c>
    </row>
    <row r="79" spans="1:15" x14ac:dyDescent="0.2">
      <c r="A79" s="72">
        <f t="shared" si="34"/>
        <v>67</v>
      </c>
      <c r="B79" s="75">
        <f t="shared" si="33"/>
        <v>8586.9474562666546</v>
      </c>
      <c r="C79" s="78">
        <f t="shared" si="35"/>
        <v>3011.0075495999963</v>
      </c>
      <c r="D79" s="75">
        <f t="shared" si="36"/>
        <v>5575.9399066666574</v>
      </c>
      <c r="E79" s="90">
        <f t="shared" si="37"/>
        <v>295524.815053333</v>
      </c>
      <c r="F79" s="73"/>
      <c r="H79" s="72">
        <f t="shared" si="38"/>
        <v>67</v>
      </c>
      <c r="I79" s="77">
        <f t="shared" si="21"/>
        <v>9599.824639743616</v>
      </c>
      <c r="J79" s="80">
        <f t="shared" si="39"/>
        <v>3990.5188566823667</v>
      </c>
      <c r="K79" s="77">
        <f t="shared" si="40"/>
        <v>5609.3057830612488</v>
      </c>
      <c r="L79" s="76">
        <f t="shared" si="41"/>
        <v>393442.57988517539</v>
      </c>
      <c r="M79" s="73"/>
      <c r="O79" s="73">
        <f t="shared" si="24"/>
        <v>53</v>
      </c>
    </row>
    <row r="80" spans="1:15" x14ac:dyDescent="0.2">
      <c r="A80" s="72">
        <f t="shared" si="34"/>
        <v>68</v>
      </c>
      <c r="B80" s="75">
        <f t="shared" si="33"/>
        <v>8531.1880571999882</v>
      </c>
      <c r="C80" s="78">
        <f t="shared" si="35"/>
        <v>2955.2481505333303</v>
      </c>
      <c r="D80" s="75">
        <f t="shared" si="36"/>
        <v>5575.9399066666574</v>
      </c>
      <c r="E80" s="90">
        <f t="shared" si="37"/>
        <v>289948.87514666637</v>
      </c>
      <c r="F80" s="73"/>
      <c r="H80" s="72">
        <f t="shared" si="38"/>
        <v>68</v>
      </c>
      <c r="I80" s="77">
        <f t="shared" si="21"/>
        <v>9599.824639743616</v>
      </c>
      <c r="J80" s="80">
        <f t="shared" si="39"/>
        <v>3934.4257988517538</v>
      </c>
      <c r="K80" s="77">
        <f t="shared" si="40"/>
        <v>5665.3988408918622</v>
      </c>
      <c r="L80" s="76">
        <f t="shared" si="41"/>
        <v>387777.18104428356</v>
      </c>
      <c r="M80" s="73"/>
      <c r="O80" s="73">
        <f t="shared" si="24"/>
        <v>52</v>
      </c>
    </row>
    <row r="81" spans="1:15" x14ac:dyDescent="0.2">
      <c r="A81" s="72">
        <f t="shared" si="34"/>
        <v>69</v>
      </c>
      <c r="B81" s="75">
        <f t="shared" si="33"/>
        <v>8475.4286581333217</v>
      </c>
      <c r="C81" s="78">
        <f t="shared" si="35"/>
        <v>2899.4887514666639</v>
      </c>
      <c r="D81" s="75">
        <f t="shared" si="36"/>
        <v>5575.9399066666574</v>
      </c>
      <c r="E81" s="90">
        <f t="shared" si="37"/>
        <v>284372.93523999973</v>
      </c>
      <c r="F81" s="73"/>
      <c r="H81" s="72">
        <f t="shared" si="38"/>
        <v>69</v>
      </c>
      <c r="I81" s="77">
        <f t="shared" si="21"/>
        <v>9599.824639743616</v>
      </c>
      <c r="J81" s="80">
        <f t="shared" si="39"/>
        <v>3877.7718104428354</v>
      </c>
      <c r="K81" s="77">
        <f t="shared" si="40"/>
        <v>5722.052829300781</v>
      </c>
      <c r="L81" s="76">
        <f t="shared" si="41"/>
        <v>382055.1282149828</v>
      </c>
      <c r="M81" s="73"/>
      <c r="O81" s="73">
        <f t="shared" si="24"/>
        <v>51</v>
      </c>
    </row>
    <row r="82" spans="1:15" x14ac:dyDescent="0.2">
      <c r="A82" s="72">
        <f t="shared" si="34"/>
        <v>70</v>
      </c>
      <c r="B82" s="75">
        <f t="shared" si="33"/>
        <v>8419.6692590666553</v>
      </c>
      <c r="C82" s="78">
        <f t="shared" si="35"/>
        <v>2843.7293523999974</v>
      </c>
      <c r="D82" s="75">
        <f t="shared" si="36"/>
        <v>5575.9399066666574</v>
      </c>
      <c r="E82" s="90">
        <f t="shared" si="37"/>
        <v>278796.99533333309</v>
      </c>
      <c r="F82" s="73"/>
      <c r="H82" s="72">
        <f t="shared" si="38"/>
        <v>70</v>
      </c>
      <c r="I82" s="77">
        <f t="shared" si="21"/>
        <v>9599.824639743616</v>
      </c>
      <c r="J82" s="80">
        <f t="shared" si="39"/>
        <v>3820.5512821498282</v>
      </c>
      <c r="K82" s="77">
        <f t="shared" si="40"/>
        <v>5779.2733575937873</v>
      </c>
      <c r="L82" s="76">
        <f t="shared" si="41"/>
        <v>376275.854857389</v>
      </c>
      <c r="M82" s="73"/>
      <c r="O82" s="73">
        <f t="shared" si="24"/>
        <v>50</v>
      </c>
    </row>
    <row r="83" spans="1:15" x14ac:dyDescent="0.2">
      <c r="A83" s="72">
        <f t="shared" si="34"/>
        <v>71</v>
      </c>
      <c r="B83" s="75">
        <f t="shared" si="33"/>
        <v>8363.9098599999888</v>
      </c>
      <c r="C83" s="78">
        <f t="shared" si="35"/>
        <v>2787.969953333331</v>
      </c>
      <c r="D83" s="75">
        <f t="shared" si="36"/>
        <v>5575.9399066666574</v>
      </c>
      <c r="E83" s="90">
        <f t="shared" si="37"/>
        <v>273221.05542666645</v>
      </c>
      <c r="F83" s="73"/>
      <c r="H83" s="72">
        <f t="shared" si="38"/>
        <v>71</v>
      </c>
      <c r="I83" s="77">
        <f t="shared" si="21"/>
        <v>9599.824639743616</v>
      </c>
      <c r="J83" s="80">
        <f t="shared" si="39"/>
        <v>3762.75854857389</v>
      </c>
      <c r="K83" s="77">
        <f t="shared" si="40"/>
        <v>5837.066091169726</v>
      </c>
      <c r="L83" s="76">
        <f t="shared" si="41"/>
        <v>370438.78876621928</v>
      </c>
      <c r="M83" s="73"/>
      <c r="O83" s="73">
        <f t="shared" si="24"/>
        <v>49</v>
      </c>
    </row>
    <row r="84" spans="1:15" x14ac:dyDescent="0.2">
      <c r="A84" s="93">
        <f t="shared" si="34"/>
        <v>72</v>
      </c>
      <c r="B84" s="94">
        <f t="shared" si="33"/>
        <v>8308.1504609333224</v>
      </c>
      <c r="C84" s="95">
        <f t="shared" si="35"/>
        <v>2732.2105542666645</v>
      </c>
      <c r="D84" s="94">
        <f t="shared" si="36"/>
        <v>5575.9399066666574</v>
      </c>
      <c r="E84" s="96">
        <f t="shared" si="37"/>
        <v>267645.11551999982</v>
      </c>
      <c r="F84" s="97">
        <f>E84*(1+$B$9)</f>
        <v>283703.82245119981</v>
      </c>
      <c r="H84" s="93">
        <f t="shared" ref="H84:H85" si="46">H83+1</f>
        <v>72</v>
      </c>
      <c r="I84" s="98">
        <f>I83</f>
        <v>9599.824639743616</v>
      </c>
      <c r="J84" s="99">
        <f t="shared" ref="J84" si="47">L83*$I$6</f>
        <v>3704.387887662193</v>
      </c>
      <c r="K84" s="98">
        <f t="shared" ref="K84:K85" si="48">I84-J84</f>
        <v>5895.436752081423</v>
      </c>
      <c r="L84" s="100">
        <f t="shared" ref="L84" si="49">L83-K84</f>
        <v>364543.35201413784</v>
      </c>
      <c r="M84" s="97">
        <f>L84*(1+$B$9)</f>
        <v>386415.95313498611</v>
      </c>
      <c r="O84" s="73">
        <f t="shared" si="24"/>
        <v>48</v>
      </c>
    </row>
    <row r="85" spans="1:15" x14ac:dyDescent="0.2">
      <c r="A85" s="72">
        <f t="shared" si="34"/>
        <v>73</v>
      </c>
      <c r="B85" s="75">
        <f t="shared" si="33"/>
        <v>8747.5345255786597</v>
      </c>
      <c r="C85" s="78">
        <f>F84*$B$6</f>
        <v>2837.0382245119981</v>
      </c>
      <c r="D85" s="75">
        <f>F84/O84</f>
        <v>5910.4963010666625</v>
      </c>
      <c r="E85" s="90">
        <f>F84-D85</f>
        <v>277793.32615013316</v>
      </c>
      <c r="F85" s="73"/>
      <c r="H85" s="72">
        <f t="shared" si="46"/>
        <v>73</v>
      </c>
      <c r="I85" s="77">
        <f>PMT($I$6,$O84,-$M84)</f>
        <v>10175.814118128237</v>
      </c>
      <c r="J85" s="79">
        <f>M84*$I$6</f>
        <v>3864.159531349861</v>
      </c>
      <c r="K85" s="77">
        <f t="shared" si="48"/>
        <v>6311.6545867783761</v>
      </c>
      <c r="L85" s="76">
        <f>M84-K85</f>
        <v>380104.29854820773</v>
      </c>
      <c r="M85" s="73"/>
      <c r="O85" s="73">
        <f t="shared" si="24"/>
        <v>47</v>
      </c>
    </row>
    <row r="86" spans="1:15" x14ac:dyDescent="0.2">
      <c r="A86" s="72">
        <f t="shared" si="34"/>
        <v>74</v>
      </c>
      <c r="B86" s="75">
        <f t="shared" si="33"/>
        <v>8688.4295625679952</v>
      </c>
      <c r="C86" s="78">
        <f t="shared" si="35"/>
        <v>2777.9332615013318</v>
      </c>
      <c r="D86" s="75">
        <f t="shared" si="36"/>
        <v>5910.4963010666625</v>
      </c>
      <c r="E86" s="90">
        <f t="shared" si="37"/>
        <v>271882.8298490665</v>
      </c>
      <c r="F86" s="73"/>
      <c r="H86" s="72">
        <f t="shared" si="38"/>
        <v>74</v>
      </c>
      <c r="I86" s="77">
        <f t="shared" si="21"/>
        <v>10175.814118128237</v>
      </c>
      <c r="J86" s="80">
        <f t="shared" si="39"/>
        <v>3801.0429854820773</v>
      </c>
      <c r="K86" s="77">
        <f t="shared" si="40"/>
        <v>6374.7711326461595</v>
      </c>
      <c r="L86" s="76">
        <f t="shared" si="41"/>
        <v>373729.52741556155</v>
      </c>
      <c r="M86" s="73"/>
      <c r="O86" s="73">
        <f t="shared" si="24"/>
        <v>46</v>
      </c>
    </row>
    <row r="87" spans="1:15" x14ac:dyDescent="0.2">
      <c r="A87" s="72">
        <f t="shared" si="34"/>
        <v>75</v>
      </c>
      <c r="B87" s="75">
        <f t="shared" si="33"/>
        <v>8629.324599557327</v>
      </c>
      <c r="C87" s="78">
        <f t="shared" si="35"/>
        <v>2718.828298490665</v>
      </c>
      <c r="D87" s="75">
        <f t="shared" si="36"/>
        <v>5910.4963010666625</v>
      </c>
      <c r="E87" s="90">
        <f t="shared" si="37"/>
        <v>265972.33354799985</v>
      </c>
      <c r="F87" s="73"/>
      <c r="H87" s="72">
        <f t="shared" si="38"/>
        <v>75</v>
      </c>
      <c r="I87" s="77">
        <f t="shared" si="21"/>
        <v>10175.814118128237</v>
      </c>
      <c r="J87" s="80">
        <f t="shared" si="39"/>
        <v>3737.2952741556155</v>
      </c>
      <c r="K87" s="77">
        <f t="shared" si="40"/>
        <v>6438.5188439726217</v>
      </c>
      <c r="L87" s="76">
        <f t="shared" si="41"/>
        <v>367291.0085715889</v>
      </c>
      <c r="M87" s="73"/>
      <c r="O87" s="73">
        <f t="shared" si="24"/>
        <v>45</v>
      </c>
    </row>
    <row r="88" spans="1:15" x14ac:dyDescent="0.2">
      <c r="A88" s="72">
        <f t="shared" si="34"/>
        <v>76</v>
      </c>
      <c r="B88" s="75">
        <f t="shared" si="33"/>
        <v>8570.2196365466607</v>
      </c>
      <c r="C88" s="78">
        <f t="shared" si="35"/>
        <v>2659.7233354799987</v>
      </c>
      <c r="D88" s="75">
        <f t="shared" si="36"/>
        <v>5910.4963010666625</v>
      </c>
      <c r="E88" s="90">
        <f t="shared" si="37"/>
        <v>260061.8372469332</v>
      </c>
      <c r="F88" s="73"/>
      <c r="H88" s="72">
        <f t="shared" si="38"/>
        <v>76</v>
      </c>
      <c r="I88" s="77">
        <f t="shared" si="21"/>
        <v>10175.814118128237</v>
      </c>
      <c r="J88" s="80">
        <f t="shared" si="39"/>
        <v>3672.9100857158892</v>
      </c>
      <c r="K88" s="77">
        <f t="shared" si="40"/>
        <v>6502.904032412348</v>
      </c>
      <c r="L88" s="76">
        <f t="shared" si="41"/>
        <v>360788.10453917657</v>
      </c>
      <c r="M88" s="73"/>
      <c r="O88" s="73">
        <f t="shared" si="24"/>
        <v>44</v>
      </c>
    </row>
    <row r="89" spans="1:15" x14ac:dyDescent="0.2">
      <c r="A89" s="72">
        <f t="shared" si="34"/>
        <v>77</v>
      </c>
      <c r="B89" s="75">
        <f t="shared" si="33"/>
        <v>8511.1146735359944</v>
      </c>
      <c r="C89" s="78">
        <f t="shared" si="35"/>
        <v>2600.6183724693319</v>
      </c>
      <c r="D89" s="75">
        <f t="shared" si="36"/>
        <v>5910.4963010666625</v>
      </c>
      <c r="E89" s="90">
        <f t="shared" si="37"/>
        <v>254151.34094586654</v>
      </c>
      <c r="F89" s="73"/>
      <c r="H89" s="72">
        <f t="shared" si="38"/>
        <v>77</v>
      </c>
      <c r="I89" s="77">
        <f t="shared" si="21"/>
        <v>10175.814118128237</v>
      </c>
      <c r="J89" s="80">
        <f t="shared" si="39"/>
        <v>3607.8810453917658</v>
      </c>
      <c r="K89" s="77">
        <f t="shared" si="40"/>
        <v>6567.9330727364713</v>
      </c>
      <c r="L89" s="76">
        <f t="shared" si="41"/>
        <v>354220.17146644008</v>
      </c>
      <c r="M89" s="73"/>
      <c r="O89" s="73">
        <f t="shared" si="24"/>
        <v>43</v>
      </c>
    </row>
    <row r="90" spans="1:15" x14ac:dyDescent="0.2">
      <c r="A90" s="72">
        <f t="shared" si="34"/>
        <v>78</v>
      </c>
      <c r="B90" s="75">
        <f t="shared" si="33"/>
        <v>8452.009710525328</v>
      </c>
      <c r="C90" s="78">
        <f t="shared" si="35"/>
        <v>2541.5134094586656</v>
      </c>
      <c r="D90" s="75">
        <f t="shared" si="36"/>
        <v>5910.4963010666625</v>
      </c>
      <c r="E90" s="90">
        <f t="shared" si="37"/>
        <v>248240.84464479989</v>
      </c>
      <c r="F90" s="73"/>
      <c r="H90" s="72">
        <f t="shared" si="38"/>
        <v>78</v>
      </c>
      <c r="I90" s="77">
        <f t="shared" si="21"/>
        <v>10175.814118128237</v>
      </c>
      <c r="J90" s="80">
        <f t="shared" si="39"/>
        <v>3542.2017146644007</v>
      </c>
      <c r="K90" s="77">
        <f t="shared" si="40"/>
        <v>6633.612403463836</v>
      </c>
      <c r="L90" s="76">
        <f t="shared" si="41"/>
        <v>347586.55906297622</v>
      </c>
      <c r="M90" s="73"/>
      <c r="O90" s="73">
        <f t="shared" si="24"/>
        <v>42</v>
      </c>
    </row>
    <row r="91" spans="1:15" x14ac:dyDescent="0.2">
      <c r="A91" s="72">
        <f t="shared" si="34"/>
        <v>79</v>
      </c>
      <c r="B91" s="75">
        <f t="shared" si="33"/>
        <v>8392.9047475146617</v>
      </c>
      <c r="C91" s="78">
        <f t="shared" si="35"/>
        <v>2482.4084464479988</v>
      </c>
      <c r="D91" s="75">
        <f t="shared" si="36"/>
        <v>5910.4963010666625</v>
      </c>
      <c r="E91" s="90">
        <f t="shared" si="37"/>
        <v>242330.34834373323</v>
      </c>
      <c r="F91" s="73"/>
      <c r="H91" s="72">
        <f t="shared" si="38"/>
        <v>79</v>
      </c>
      <c r="I91" s="77">
        <f t="shared" ref="I91:I131" si="50">I90</f>
        <v>10175.814118128237</v>
      </c>
      <c r="J91" s="80">
        <f t="shared" si="39"/>
        <v>3475.8655906297622</v>
      </c>
      <c r="K91" s="77">
        <f t="shared" si="40"/>
        <v>6699.9485274984745</v>
      </c>
      <c r="L91" s="76">
        <f t="shared" si="41"/>
        <v>340886.61053547775</v>
      </c>
      <c r="M91" s="73"/>
      <c r="O91" s="73">
        <f t="shared" si="24"/>
        <v>41</v>
      </c>
    </row>
    <row r="92" spans="1:15" x14ac:dyDescent="0.2">
      <c r="A92" s="72">
        <f t="shared" si="34"/>
        <v>80</v>
      </c>
      <c r="B92" s="75">
        <f t="shared" si="33"/>
        <v>8333.7997845039954</v>
      </c>
      <c r="C92" s="78">
        <f t="shared" si="35"/>
        <v>2423.3034834373325</v>
      </c>
      <c r="D92" s="75">
        <f t="shared" si="36"/>
        <v>5910.4963010666625</v>
      </c>
      <c r="E92" s="90">
        <f t="shared" si="37"/>
        <v>236419.85204266658</v>
      </c>
      <c r="F92" s="73"/>
      <c r="H92" s="72">
        <f t="shared" si="38"/>
        <v>80</v>
      </c>
      <c r="I92" s="77">
        <f t="shared" si="50"/>
        <v>10175.814118128237</v>
      </c>
      <c r="J92" s="80">
        <f t="shared" si="39"/>
        <v>3408.8661053547776</v>
      </c>
      <c r="K92" s="77">
        <f t="shared" si="40"/>
        <v>6766.9480127734596</v>
      </c>
      <c r="L92" s="76">
        <f t="shared" si="41"/>
        <v>334119.66252270428</v>
      </c>
      <c r="M92" s="73"/>
      <c r="O92" s="73">
        <f t="shared" si="24"/>
        <v>40</v>
      </c>
    </row>
    <row r="93" spans="1:15" x14ac:dyDescent="0.2">
      <c r="A93" s="72">
        <f t="shared" si="34"/>
        <v>81</v>
      </c>
      <c r="B93" s="75">
        <f t="shared" si="33"/>
        <v>8274.6948214933291</v>
      </c>
      <c r="C93" s="78">
        <f t="shared" si="35"/>
        <v>2364.1985204266657</v>
      </c>
      <c r="D93" s="75">
        <f t="shared" si="36"/>
        <v>5910.4963010666625</v>
      </c>
      <c r="E93" s="90">
        <f t="shared" si="37"/>
        <v>230509.35574159992</v>
      </c>
      <c r="F93" s="73"/>
      <c r="H93" s="72">
        <f t="shared" si="38"/>
        <v>81</v>
      </c>
      <c r="I93" s="77">
        <f t="shared" si="50"/>
        <v>10175.814118128237</v>
      </c>
      <c r="J93" s="80">
        <f t="shared" si="39"/>
        <v>3341.1966252270431</v>
      </c>
      <c r="K93" s="77">
        <f t="shared" si="40"/>
        <v>6834.6174929011941</v>
      </c>
      <c r="L93" s="76">
        <f t="shared" si="41"/>
        <v>327285.04502980306</v>
      </c>
      <c r="M93" s="73"/>
      <c r="O93" s="73">
        <f t="shared" si="24"/>
        <v>39</v>
      </c>
    </row>
    <row r="94" spans="1:15" x14ac:dyDescent="0.2">
      <c r="A94" s="72">
        <f t="shared" si="34"/>
        <v>82</v>
      </c>
      <c r="B94" s="75">
        <f t="shared" si="33"/>
        <v>8215.5898584826609</v>
      </c>
      <c r="C94" s="78">
        <f t="shared" si="35"/>
        <v>2305.0935574159994</v>
      </c>
      <c r="D94" s="75">
        <f t="shared" si="36"/>
        <v>5910.4963010666625</v>
      </c>
      <c r="E94" s="90">
        <f t="shared" si="37"/>
        <v>224598.85944053327</v>
      </c>
      <c r="F94" s="73"/>
      <c r="H94" s="72">
        <f t="shared" si="38"/>
        <v>82</v>
      </c>
      <c r="I94" s="77">
        <f t="shared" si="50"/>
        <v>10175.814118128237</v>
      </c>
      <c r="J94" s="80">
        <f t="shared" si="39"/>
        <v>3272.8504502980309</v>
      </c>
      <c r="K94" s="77">
        <f t="shared" si="40"/>
        <v>6902.9636678302068</v>
      </c>
      <c r="L94" s="76">
        <f t="shared" si="41"/>
        <v>320382.08136197284</v>
      </c>
      <c r="M94" s="73"/>
      <c r="O94" s="73">
        <f t="shared" si="24"/>
        <v>38</v>
      </c>
    </row>
    <row r="95" spans="1:15" x14ac:dyDescent="0.2">
      <c r="A95" s="72">
        <f t="shared" si="34"/>
        <v>83</v>
      </c>
      <c r="B95" s="75">
        <f t="shared" si="33"/>
        <v>8156.4848954719946</v>
      </c>
      <c r="C95" s="78">
        <f t="shared" si="35"/>
        <v>2245.9885944053326</v>
      </c>
      <c r="D95" s="75">
        <f t="shared" si="36"/>
        <v>5910.4963010666625</v>
      </c>
      <c r="E95" s="90">
        <f t="shared" si="37"/>
        <v>218688.36313946662</v>
      </c>
      <c r="F95" s="73"/>
      <c r="H95" s="72">
        <f t="shared" si="38"/>
        <v>83</v>
      </c>
      <c r="I95" s="77">
        <f t="shared" si="50"/>
        <v>10175.814118128237</v>
      </c>
      <c r="J95" s="80">
        <f t="shared" si="39"/>
        <v>3203.8208136197286</v>
      </c>
      <c r="K95" s="77">
        <f t="shared" si="40"/>
        <v>6971.993304508509</v>
      </c>
      <c r="L95" s="76">
        <f t="shared" si="41"/>
        <v>313410.08805746434</v>
      </c>
      <c r="M95" s="73"/>
      <c r="O95" s="73">
        <f t="shared" si="24"/>
        <v>37</v>
      </c>
    </row>
    <row r="96" spans="1:15" x14ac:dyDescent="0.2">
      <c r="A96" s="93">
        <f t="shared" si="34"/>
        <v>84</v>
      </c>
      <c r="B96" s="94">
        <f t="shared" si="33"/>
        <v>8097.3799324613283</v>
      </c>
      <c r="C96" s="95">
        <f t="shared" si="35"/>
        <v>2186.8836313946663</v>
      </c>
      <c r="D96" s="94">
        <f t="shared" si="36"/>
        <v>5910.4963010666625</v>
      </c>
      <c r="E96" s="96">
        <f t="shared" si="37"/>
        <v>212777.86683839996</v>
      </c>
      <c r="F96" s="97">
        <f>E96*(1+$B$9)</f>
        <v>225544.53884870396</v>
      </c>
      <c r="H96" s="93">
        <f t="shared" ref="H96:H97" si="51">H95+1</f>
        <v>84</v>
      </c>
      <c r="I96" s="98">
        <f>I95</f>
        <v>10175.814118128237</v>
      </c>
      <c r="J96" s="99">
        <f t="shared" ref="J96" si="52">L95*$I$6</f>
        <v>3134.1008805746433</v>
      </c>
      <c r="K96" s="98">
        <f t="shared" ref="K96:K97" si="53">I96-J96</f>
        <v>7041.7132375535939</v>
      </c>
      <c r="L96" s="100">
        <f t="shared" ref="L96" si="54">L95-K96</f>
        <v>306368.37481991074</v>
      </c>
      <c r="M96" s="97">
        <f>L96*(1+$B$9)</f>
        <v>324750.47730910539</v>
      </c>
      <c r="O96" s="73">
        <f t="shared" si="24"/>
        <v>36</v>
      </c>
    </row>
    <row r="97" spans="1:15" x14ac:dyDescent="0.2">
      <c r="A97" s="72">
        <f t="shared" si="34"/>
        <v>85</v>
      </c>
      <c r="B97" s="75">
        <f t="shared" si="33"/>
        <v>8520.5714676177049</v>
      </c>
      <c r="C97" s="78">
        <f>F96*$B$6</f>
        <v>2255.4453884870395</v>
      </c>
      <c r="D97" s="75">
        <f>F96/O96</f>
        <v>6265.1260791306659</v>
      </c>
      <c r="E97" s="90">
        <f>F96-D97</f>
        <v>219279.4127695733</v>
      </c>
      <c r="F97" s="73"/>
      <c r="H97" s="72">
        <f t="shared" si="51"/>
        <v>85</v>
      </c>
      <c r="I97" s="77">
        <f>PMT($I$6,$O96,-$M96)</f>
        <v>10786.362965215927</v>
      </c>
      <c r="J97" s="79">
        <f>M96*$I$6</f>
        <v>3247.5047730910542</v>
      </c>
      <c r="K97" s="77">
        <f t="shared" si="53"/>
        <v>7538.8581921248733</v>
      </c>
      <c r="L97" s="76">
        <f>M96-K97</f>
        <v>317211.61911698052</v>
      </c>
      <c r="M97" s="73"/>
      <c r="O97" s="73">
        <f t="shared" si="24"/>
        <v>35</v>
      </c>
    </row>
    <row r="98" spans="1:15" x14ac:dyDescent="0.2">
      <c r="A98" s="72">
        <f t="shared" si="34"/>
        <v>86</v>
      </c>
      <c r="B98" s="75">
        <f t="shared" si="33"/>
        <v>8457.9202068263985</v>
      </c>
      <c r="C98" s="78">
        <f t="shared" si="35"/>
        <v>2192.7941276957331</v>
      </c>
      <c r="D98" s="75">
        <f t="shared" si="36"/>
        <v>6265.1260791306659</v>
      </c>
      <c r="E98" s="90">
        <f t="shared" si="37"/>
        <v>213014.28669044265</v>
      </c>
      <c r="F98" s="73"/>
      <c r="H98" s="72">
        <f t="shared" si="38"/>
        <v>86</v>
      </c>
      <c r="I98" s="77">
        <f t="shared" si="50"/>
        <v>10786.362965215927</v>
      </c>
      <c r="J98" s="80">
        <f t="shared" si="39"/>
        <v>3172.1161911698055</v>
      </c>
      <c r="K98" s="77">
        <f t="shared" si="40"/>
        <v>7614.2467740461216</v>
      </c>
      <c r="L98" s="76">
        <f t="shared" si="41"/>
        <v>309597.37234293442</v>
      </c>
      <c r="M98" s="73"/>
      <c r="O98" s="73">
        <f t="shared" si="24"/>
        <v>34</v>
      </c>
    </row>
    <row r="99" spans="1:15" x14ac:dyDescent="0.2">
      <c r="A99" s="72">
        <f t="shared" si="34"/>
        <v>87</v>
      </c>
      <c r="B99" s="75">
        <f t="shared" si="33"/>
        <v>8395.2689460350921</v>
      </c>
      <c r="C99" s="78">
        <f t="shared" si="35"/>
        <v>2130.1428669044267</v>
      </c>
      <c r="D99" s="75">
        <f t="shared" si="36"/>
        <v>6265.1260791306659</v>
      </c>
      <c r="E99" s="90">
        <f t="shared" si="37"/>
        <v>206749.16061131199</v>
      </c>
      <c r="F99" s="73"/>
      <c r="H99" s="72">
        <f t="shared" si="38"/>
        <v>87</v>
      </c>
      <c r="I99" s="77">
        <f t="shared" si="50"/>
        <v>10786.362965215927</v>
      </c>
      <c r="J99" s="80">
        <f t="shared" si="39"/>
        <v>3095.9737234293443</v>
      </c>
      <c r="K99" s="77">
        <f t="shared" si="40"/>
        <v>7690.3892417865827</v>
      </c>
      <c r="L99" s="76">
        <f t="shared" si="41"/>
        <v>301906.98310114787</v>
      </c>
      <c r="M99" s="73"/>
      <c r="O99" s="73">
        <f t="shared" si="24"/>
        <v>33</v>
      </c>
    </row>
    <row r="100" spans="1:15" x14ac:dyDescent="0.2">
      <c r="A100" s="72">
        <f t="shared" si="34"/>
        <v>88</v>
      </c>
      <c r="B100" s="75">
        <f t="shared" si="33"/>
        <v>8332.6176852437857</v>
      </c>
      <c r="C100" s="78">
        <f t="shared" si="35"/>
        <v>2067.4916061131198</v>
      </c>
      <c r="D100" s="75">
        <f t="shared" si="36"/>
        <v>6265.1260791306659</v>
      </c>
      <c r="E100" s="90">
        <f t="shared" si="37"/>
        <v>200484.03453218134</v>
      </c>
      <c r="F100" s="73"/>
      <c r="H100" s="72">
        <f t="shared" si="38"/>
        <v>88</v>
      </c>
      <c r="I100" s="77">
        <f t="shared" si="50"/>
        <v>10786.362965215927</v>
      </c>
      <c r="J100" s="80">
        <f t="shared" si="39"/>
        <v>3019.0698310114785</v>
      </c>
      <c r="K100" s="77">
        <f t="shared" si="40"/>
        <v>7767.2931342044485</v>
      </c>
      <c r="L100" s="76">
        <f t="shared" si="41"/>
        <v>294139.68996694341</v>
      </c>
      <c r="M100" s="73"/>
      <c r="O100" s="73">
        <f t="shared" si="24"/>
        <v>32</v>
      </c>
    </row>
    <row r="101" spans="1:15" x14ac:dyDescent="0.2">
      <c r="A101" s="72">
        <f t="shared" si="34"/>
        <v>89</v>
      </c>
      <c r="B101" s="75">
        <f t="shared" si="33"/>
        <v>8269.9664244524793</v>
      </c>
      <c r="C101" s="78">
        <f t="shared" si="35"/>
        <v>2004.8403453218134</v>
      </c>
      <c r="D101" s="75">
        <f t="shared" si="36"/>
        <v>6265.1260791306659</v>
      </c>
      <c r="E101" s="90">
        <f t="shared" si="37"/>
        <v>194218.90845305068</v>
      </c>
      <c r="F101" s="73"/>
      <c r="H101" s="72">
        <f t="shared" si="38"/>
        <v>89</v>
      </c>
      <c r="I101" s="77">
        <f t="shared" si="50"/>
        <v>10786.362965215927</v>
      </c>
      <c r="J101" s="80">
        <f t="shared" si="39"/>
        <v>2941.3968996694343</v>
      </c>
      <c r="K101" s="77">
        <f t="shared" si="40"/>
        <v>7844.9660655464922</v>
      </c>
      <c r="L101" s="76">
        <f t="shared" si="41"/>
        <v>286294.72390139691</v>
      </c>
      <c r="M101" s="73"/>
      <c r="O101" s="73">
        <f t="shared" ref="O101:O132" si="55">$B$5-A101</f>
        <v>31</v>
      </c>
    </row>
    <row r="102" spans="1:15" x14ac:dyDescent="0.2">
      <c r="A102" s="72">
        <f t="shared" si="34"/>
        <v>90</v>
      </c>
      <c r="B102" s="75">
        <f t="shared" si="33"/>
        <v>8207.3151636611728</v>
      </c>
      <c r="C102" s="78">
        <f t="shared" si="35"/>
        <v>1942.1890845305068</v>
      </c>
      <c r="D102" s="75">
        <f t="shared" si="36"/>
        <v>6265.1260791306659</v>
      </c>
      <c r="E102" s="90">
        <f t="shared" si="37"/>
        <v>187953.78237392002</v>
      </c>
      <c r="F102" s="73"/>
      <c r="H102" s="72">
        <f t="shared" si="38"/>
        <v>90</v>
      </c>
      <c r="I102" s="77">
        <f t="shared" si="50"/>
        <v>10786.362965215927</v>
      </c>
      <c r="J102" s="80">
        <f t="shared" si="39"/>
        <v>2862.947239013969</v>
      </c>
      <c r="K102" s="77">
        <f t="shared" si="40"/>
        <v>7923.415726201958</v>
      </c>
      <c r="L102" s="76">
        <f t="shared" si="41"/>
        <v>278371.30817519495</v>
      </c>
      <c r="M102" s="73"/>
      <c r="O102" s="73">
        <f t="shared" si="55"/>
        <v>30</v>
      </c>
    </row>
    <row r="103" spans="1:15" x14ac:dyDescent="0.2">
      <c r="A103" s="72">
        <f t="shared" si="34"/>
        <v>91</v>
      </c>
      <c r="B103" s="75">
        <f t="shared" si="33"/>
        <v>8144.6639028698664</v>
      </c>
      <c r="C103" s="78">
        <f t="shared" si="35"/>
        <v>1879.5378237392003</v>
      </c>
      <c r="D103" s="75">
        <f t="shared" si="36"/>
        <v>6265.1260791306659</v>
      </c>
      <c r="E103" s="90">
        <f t="shared" si="37"/>
        <v>181688.65629478937</v>
      </c>
      <c r="F103" s="73"/>
      <c r="H103" s="72">
        <f t="shared" si="38"/>
        <v>91</v>
      </c>
      <c r="I103" s="77">
        <f t="shared" si="50"/>
        <v>10786.362965215927</v>
      </c>
      <c r="J103" s="80">
        <f t="shared" si="39"/>
        <v>2783.7130817519496</v>
      </c>
      <c r="K103" s="77">
        <f t="shared" si="40"/>
        <v>8002.6498834639769</v>
      </c>
      <c r="L103" s="76">
        <f t="shared" si="41"/>
        <v>270368.65829173097</v>
      </c>
      <c r="M103" s="73"/>
      <c r="O103" s="73">
        <f t="shared" si="55"/>
        <v>29</v>
      </c>
    </row>
    <row r="104" spans="1:15" x14ac:dyDescent="0.2">
      <c r="A104" s="72">
        <f t="shared" si="34"/>
        <v>92</v>
      </c>
      <c r="B104" s="75">
        <f t="shared" si="33"/>
        <v>8082.01264207856</v>
      </c>
      <c r="C104" s="78">
        <f t="shared" si="35"/>
        <v>1816.8865629478937</v>
      </c>
      <c r="D104" s="75">
        <f t="shared" si="36"/>
        <v>6265.1260791306659</v>
      </c>
      <c r="E104" s="90">
        <f t="shared" si="37"/>
        <v>175423.53021565871</v>
      </c>
      <c r="F104" s="73"/>
      <c r="H104" s="72">
        <f t="shared" si="38"/>
        <v>92</v>
      </c>
      <c r="I104" s="77">
        <f t="shared" si="50"/>
        <v>10786.362965215927</v>
      </c>
      <c r="J104" s="80">
        <f t="shared" si="39"/>
        <v>2703.6865829173098</v>
      </c>
      <c r="K104" s="77">
        <f t="shared" si="40"/>
        <v>8082.6763822986177</v>
      </c>
      <c r="L104" s="76">
        <f t="shared" si="41"/>
        <v>262285.98190943233</v>
      </c>
      <c r="M104" s="73"/>
      <c r="O104" s="73">
        <f t="shared" si="55"/>
        <v>28</v>
      </c>
    </row>
    <row r="105" spans="1:15" x14ac:dyDescent="0.2">
      <c r="A105" s="72">
        <f t="shared" si="34"/>
        <v>93</v>
      </c>
      <c r="B105" s="75">
        <f t="shared" si="33"/>
        <v>8019.3613812872527</v>
      </c>
      <c r="C105" s="78">
        <f t="shared" si="35"/>
        <v>1754.2353021565871</v>
      </c>
      <c r="D105" s="75">
        <f t="shared" si="36"/>
        <v>6265.1260791306659</v>
      </c>
      <c r="E105" s="90">
        <f t="shared" si="37"/>
        <v>169158.40413652806</v>
      </c>
      <c r="F105" s="73"/>
      <c r="H105" s="72">
        <f t="shared" si="38"/>
        <v>93</v>
      </c>
      <c r="I105" s="77">
        <f t="shared" si="50"/>
        <v>10786.362965215927</v>
      </c>
      <c r="J105" s="80">
        <f t="shared" si="39"/>
        <v>2622.8598190943235</v>
      </c>
      <c r="K105" s="77">
        <f t="shared" si="40"/>
        <v>8163.503146121604</v>
      </c>
      <c r="L105" s="76">
        <f t="shared" si="41"/>
        <v>254122.47876331073</v>
      </c>
      <c r="M105" s="73"/>
      <c r="O105" s="73">
        <f t="shared" si="55"/>
        <v>27</v>
      </c>
    </row>
    <row r="106" spans="1:15" x14ac:dyDescent="0.2">
      <c r="A106" s="72">
        <f t="shared" si="34"/>
        <v>94</v>
      </c>
      <c r="B106" s="75">
        <f t="shared" si="33"/>
        <v>7956.7101204959463</v>
      </c>
      <c r="C106" s="78">
        <f t="shared" si="35"/>
        <v>1691.5840413652807</v>
      </c>
      <c r="D106" s="75">
        <f t="shared" si="36"/>
        <v>6265.1260791306659</v>
      </c>
      <c r="E106" s="90">
        <f t="shared" si="37"/>
        <v>162893.2780573974</v>
      </c>
      <c r="F106" s="73"/>
      <c r="H106" s="72">
        <f t="shared" si="38"/>
        <v>94</v>
      </c>
      <c r="I106" s="77">
        <f t="shared" si="50"/>
        <v>10786.362965215927</v>
      </c>
      <c r="J106" s="80">
        <f t="shared" si="39"/>
        <v>2541.2247876331076</v>
      </c>
      <c r="K106" s="77">
        <f t="shared" si="40"/>
        <v>8245.1381775828195</v>
      </c>
      <c r="L106" s="76">
        <f t="shared" si="41"/>
        <v>245877.34058572791</v>
      </c>
      <c r="M106" s="73"/>
      <c r="O106" s="73">
        <f t="shared" si="55"/>
        <v>26</v>
      </c>
    </row>
    <row r="107" spans="1:15" x14ac:dyDescent="0.2">
      <c r="A107" s="72">
        <f t="shared" si="34"/>
        <v>95</v>
      </c>
      <c r="B107" s="75">
        <f t="shared" si="33"/>
        <v>7894.0588597046399</v>
      </c>
      <c r="C107" s="78">
        <f t="shared" si="35"/>
        <v>1628.932780573974</v>
      </c>
      <c r="D107" s="75">
        <f t="shared" si="36"/>
        <v>6265.1260791306659</v>
      </c>
      <c r="E107" s="90">
        <f t="shared" si="37"/>
        <v>156628.15197826675</v>
      </c>
      <c r="F107" s="73"/>
      <c r="H107" s="72">
        <f t="shared" si="38"/>
        <v>95</v>
      </c>
      <c r="I107" s="77">
        <f t="shared" si="50"/>
        <v>10786.362965215927</v>
      </c>
      <c r="J107" s="80">
        <f t="shared" si="39"/>
        <v>2458.7734058572792</v>
      </c>
      <c r="K107" s="77">
        <f t="shared" si="40"/>
        <v>8327.5895593586483</v>
      </c>
      <c r="L107" s="76">
        <f t="shared" si="41"/>
        <v>237549.75102636925</v>
      </c>
      <c r="M107" s="73"/>
      <c r="O107" s="73">
        <f t="shared" si="55"/>
        <v>25</v>
      </c>
    </row>
    <row r="108" spans="1:15" x14ac:dyDescent="0.2">
      <c r="A108" s="93">
        <f t="shared" si="34"/>
        <v>96</v>
      </c>
      <c r="B108" s="94">
        <f t="shared" si="33"/>
        <v>7831.4075989133335</v>
      </c>
      <c r="C108" s="95">
        <f t="shared" si="35"/>
        <v>1566.2815197826676</v>
      </c>
      <c r="D108" s="94">
        <f t="shared" si="36"/>
        <v>6265.1260791306659</v>
      </c>
      <c r="E108" s="96">
        <f t="shared" si="37"/>
        <v>150363.02589913609</v>
      </c>
      <c r="F108" s="97">
        <f>E108*(1+$B$9)</f>
        <v>159384.80745308427</v>
      </c>
      <c r="H108" s="93">
        <f t="shared" ref="H108:H109" si="56">H107+1</f>
        <v>96</v>
      </c>
      <c r="I108" s="98">
        <f>I107</f>
        <v>10786.362965215927</v>
      </c>
      <c r="J108" s="99">
        <f t="shared" ref="J108" si="57">L107*$I$6</f>
        <v>2375.4975102636927</v>
      </c>
      <c r="K108" s="98">
        <f t="shared" ref="K108:K109" si="58">I108-J108</f>
        <v>8410.8654549522344</v>
      </c>
      <c r="L108" s="100">
        <f t="shared" ref="L108" si="59">L107-K108</f>
        <v>229138.88557141702</v>
      </c>
      <c r="M108" s="97">
        <f>L108*(1+$B$9)</f>
        <v>242887.21870570205</v>
      </c>
      <c r="O108" s="73">
        <f t="shared" si="55"/>
        <v>24</v>
      </c>
    </row>
    <row r="109" spans="1:15" x14ac:dyDescent="0.2">
      <c r="A109" s="72">
        <f t="shared" si="34"/>
        <v>97</v>
      </c>
      <c r="B109" s="75">
        <f t="shared" si="33"/>
        <v>8234.881718409355</v>
      </c>
      <c r="C109" s="78">
        <f>F108*$B$6</f>
        <v>1593.8480745308427</v>
      </c>
      <c r="D109" s="75">
        <f>F108/O108</f>
        <v>6641.0336438785116</v>
      </c>
      <c r="E109" s="90">
        <f>F108-D109</f>
        <v>152743.77380920577</v>
      </c>
      <c r="F109" s="73"/>
      <c r="H109" s="72">
        <f t="shared" si="56"/>
        <v>97</v>
      </c>
      <c r="I109" s="77">
        <f>PMT($I$6,$O108,-$M108)</f>
        <v>11433.544743128885</v>
      </c>
      <c r="J109" s="79">
        <f>M108*$I$6</f>
        <v>2428.8721870570207</v>
      </c>
      <c r="K109" s="77">
        <f t="shared" si="58"/>
        <v>9004.6725560718642</v>
      </c>
      <c r="L109" s="76">
        <f>M108-K109</f>
        <v>233882.54614963019</v>
      </c>
      <c r="M109" s="73"/>
      <c r="O109" s="73">
        <f t="shared" si="55"/>
        <v>23</v>
      </c>
    </row>
    <row r="110" spans="1:15" x14ac:dyDescent="0.2">
      <c r="A110" s="72">
        <f t="shared" si="34"/>
        <v>98</v>
      </c>
      <c r="B110" s="75">
        <f t="shared" si="33"/>
        <v>8168.4713819705694</v>
      </c>
      <c r="C110" s="78">
        <f t="shared" si="35"/>
        <v>1527.4377380920578</v>
      </c>
      <c r="D110" s="75">
        <f t="shared" si="36"/>
        <v>6641.0336438785116</v>
      </c>
      <c r="E110" s="90">
        <f t="shared" si="37"/>
        <v>146102.74016532727</v>
      </c>
      <c r="F110" s="73"/>
      <c r="H110" s="72">
        <f t="shared" si="38"/>
        <v>98</v>
      </c>
      <c r="I110" s="77">
        <f t="shared" si="50"/>
        <v>11433.544743128885</v>
      </c>
      <c r="J110" s="80">
        <f t="shared" si="39"/>
        <v>2338.8254614963021</v>
      </c>
      <c r="K110" s="77">
        <f t="shared" si="40"/>
        <v>9094.7192816325824</v>
      </c>
      <c r="L110" s="76">
        <f t="shared" si="41"/>
        <v>224787.82686799762</v>
      </c>
      <c r="M110" s="73"/>
      <c r="O110" s="73">
        <f t="shared" si="55"/>
        <v>22</v>
      </c>
    </row>
    <row r="111" spans="1:15" x14ac:dyDescent="0.2">
      <c r="A111" s="72">
        <f t="shared" si="34"/>
        <v>99</v>
      </c>
      <c r="B111" s="75">
        <f t="shared" si="33"/>
        <v>8102.0610455317847</v>
      </c>
      <c r="C111" s="78">
        <f t="shared" si="35"/>
        <v>1461.0274016532728</v>
      </c>
      <c r="D111" s="75">
        <f t="shared" si="36"/>
        <v>6641.0336438785116</v>
      </c>
      <c r="E111" s="90">
        <f t="shared" si="37"/>
        <v>139461.70652144877</v>
      </c>
      <c r="F111" s="73"/>
      <c r="H111" s="72">
        <f t="shared" si="38"/>
        <v>99</v>
      </c>
      <c r="I111" s="77">
        <f t="shared" si="50"/>
        <v>11433.544743128885</v>
      </c>
      <c r="J111" s="80">
        <f t="shared" si="39"/>
        <v>2247.8782686799764</v>
      </c>
      <c r="K111" s="77">
        <f t="shared" si="40"/>
        <v>9185.666474448908</v>
      </c>
      <c r="L111" s="76">
        <f t="shared" si="41"/>
        <v>215602.16039354872</v>
      </c>
      <c r="M111" s="73"/>
      <c r="O111" s="73">
        <f t="shared" si="55"/>
        <v>21</v>
      </c>
    </row>
    <row r="112" spans="1:15" x14ac:dyDescent="0.2">
      <c r="A112" s="72">
        <f t="shared" si="34"/>
        <v>100</v>
      </c>
      <c r="B112" s="75">
        <f t="shared" si="33"/>
        <v>8035.650709092999</v>
      </c>
      <c r="C112" s="78">
        <f t="shared" si="35"/>
        <v>1394.6170652144876</v>
      </c>
      <c r="D112" s="75">
        <f t="shared" si="36"/>
        <v>6641.0336438785116</v>
      </c>
      <c r="E112" s="90">
        <f t="shared" si="37"/>
        <v>132820.67287757026</v>
      </c>
      <c r="F112" s="73"/>
      <c r="H112" s="72">
        <f t="shared" si="38"/>
        <v>100</v>
      </c>
      <c r="I112" s="77">
        <f t="shared" si="50"/>
        <v>11433.544743128885</v>
      </c>
      <c r="J112" s="80">
        <f t="shared" si="39"/>
        <v>2156.0216039354873</v>
      </c>
      <c r="K112" s="77">
        <f t="shared" si="40"/>
        <v>9277.5231391933976</v>
      </c>
      <c r="L112" s="76">
        <f t="shared" si="41"/>
        <v>206324.63725435533</v>
      </c>
      <c r="M112" s="73"/>
      <c r="O112" s="73">
        <f t="shared" si="55"/>
        <v>20</v>
      </c>
    </row>
    <row r="113" spans="1:15" x14ac:dyDescent="0.2">
      <c r="A113" s="72">
        <f t="shared" si="34"/>
        <v>101</v>
      </c>
      <c r="B113" s="75">
        <f t="shared" ref="B113:B132" si="60">D113+C113</f>
        <v>7969.2403726542143</v>
      </c>
      <c r="C113" s="78">
        <f t="shared" ref="C113:C132" si="61">E112*$B$6</f>
        <v>1328.2067287757027</v>
      </c>
      <c r="D113" s="75">
        <f t="shared" si="36"/>
        <v>6641.0336438785116</v>
      </c>
      <c r="E113" s="90">
        <f t="shared" ref="E113:E132" si="62">E112-D113</f>
        <v>126179.63923369175</v>
      </c>
      <c r="F113" s="73"/>
      <c r="H113" s="72">
        <f t="shared" si="38"/>
        <v>101</v>
      </c>
      <c r="I113" s="77">
        <f t="shared" si="50"/>
        <v>11433.544743128885</v>
      </c>
      <c r="J113" s="80">
        <f t="shared" si="39"/>
        <v>2063.2463725435532</v>
      </c>
      <c r="K113" s="77">
        <f t="shared" ref="K113:K132" si="63">I113-J113</f>
        <v>9370.2983705853312</v>
      </c>
      <c r="L113" s="76">
        <f t="shared" si="41"/>
        <v>196954.33888376999</v>
      </c>
      <c r="M113" s="73"/>
      <c r="O113" s="73">
        <f t="shared" si="55"/>
        <v>19</v>
      </c>
    </row>
    <row r="114" spans="1:15" x14ac:dyDescent="0.2">
      <c r="A114" s="72">
        <f t="shared" ref="A114:A132" si="64">A113+1</f>
        <v>102</v>
      </c>
      <c r="B114" s="75">
        <f t="shared" si="60"/>
        <v>7902.8300362154296</v>
      </c>
      <c r="C114" s="78">
        <f t="shared" si="61"/>
        <v>1261.7963923369175</v>
      </c>
      <c r="D114" s="75">
        <f t="shared" ref="D114:D132" si="65">D113</f>
        <v>6641.0336438785116</v>
      </c>
      <c r="E114" s="90">
        <f t="shared" si="62"/>
        <v>119538.60558981323</v>
      </c>
      <c r="F114" s="73"/>
      <c r="H114" s="72">
        <f t="shared" ref="H114:H132" si="66">H113+1</f>
        <v>102</v>
      </c>
      <c r="I114" s="77">
        <f t="shared" si="50"/>
        <v>11433.544743128885</v>
      </c>
      <c r="J114" s="80">
        <f t="shared" ref="J114:J132" si="67">L113*$I$6</f>
        <v>1969.5433888376999</v>
      </c>
      <c r="K114" s="77">
        <f t="shared" si="63"/>
        <v>9464.0013542911856</v>
      </c>
      <c r="L114" s="76">
        <f t="shared" ref="L114:L132" si="68">L113-K114</f>
        <v>187490.3375294788</v>
      </c>
      <c r="M114" s="73"/>
      <c r="O114" s="73">
        <f t="shared" si="55"/>
        <v>18</v>
      </c>
    </row>
    <row r="115" spans="1:15" x14ac:dyDescent="0.2">
      <c r="A115" s="72">
        <f t="shared" si="64"/>
        <v>103</v>
      </c>
      <c r="B115" s="75">
        <f t="shared" si="60"/>
        <v>7836.4196997766439</v>
      </c>
      <c r="C115" s="78">
        <f t="shared" si="61"/>
        <v>1195.3860558981323</v>
      </c>
      <c r="D115" s="75">
        <f t="shared" si="65"/>
        <v>6641.0336438785116</v>
      </c>
      <c r="E115" s="90">
        <f t="shared" si="62"/>
        <v>112897.57194593472</v>
      </c>
      <c r="F115" s="73"/>
      <c r="H115" s="72">
        <f t="shared" si="66"/>
        <v>103</v>
      </c>
      <c r="I115" s="77">
        <f t="shared" si="50"/>
        <v>11433.544743128885</v>
      </c>
      <c r="J115" s="80">
        <f t="shared" si="67"/>
        <v>1874.903375294788</v>
      </c>
      <c r="K115" s="77">
        <f t="shared" si="63"/>
        <v>9558.6413678340978</v>
      </c>
      <c r="L115" s="76">
        <f t="shared" si="68"/>
        <v>177931.69616164471</v>
      </c>
      <c r="M115" s="73"/>
      <c r="O115" s="73">
        <f t="shared" si="55"/>
        <v>17</v>
      </c>
    </row>
    <row r="116" spans="1:15" x14ac:dyDescent="0.2">
      <c r="A116" s="72">
        <f t="shared" si="64"/>
        <v>104</v>
      </c>
      <c r="B116" s="75">
        <f t="shared" si="60"/>
        <v>7770.0093633378583</v>
      </c>
      <c r="C116" s="78">
        <f t="shared" si="61"/>
        <v>1128.9757194593471</v>
      </c>
      <c r="D116" s="75">
        <f t="shared" si="65"/>
        <v>6641.0336438785116</v>
      </c>
      <c r="E116" s="90">
        <f t="shared" si="62"/>
        <v>106256.5383020562</v>
      </c>
      <c r="F116" s="73"/>
      <c r="H116" s="72">
        <f t="shared" si="66"/>
        <v>104</v>
      </c>
      <c r="I116" s="77">
        <f t="shared" si="50"/>
        <v>11433.544743128885</v>
      </c>
      <c r="J116" s="80">
        <f t="shared" si="67"/>
        <v>1779.3169616164471</v>
      </c>
      <c r="K116" s="77">
        <f t="shared" si="63"/>
        <v>9654.227781512438</v>
      </c>
      <c r="L116" s="76">
        <f t="shared" si="68"/>
        <v>168277.46838013228</v>
      </c>
      <c r="M116" s="73"/>
      <c r="O116" s="73">
        <f t="shared" si="55"/>
        <v>16</v>
      </c>
    </row>
    <row r="117" spans="1:15" x14ac:dyDescent="0.2">
      <c r="A117" s="72">
        <f t="shared" si="64"/>
        <v>105</v>
      </c>
      <c r="B117" s="75">
        <f t="shared" si="60"/>
        <v>7703.5990268990736</v>
      </c>
      <c r="C117" s="78">
        <f t="shared" si="61"/>
        <v>1062.565383020562</v>
      </c>
      <c r="D117" s="75">
        <f t="shared" si="65"/>
        <v>6641.0336438785116</v>
      </c>
      <c r="E117" s="90">
        <f t="shared" si="62"/>
        <v>99615.504658177684</v>
      </c>
      <c r="F117" s="73"/>
      <c r="H117" s="72">
        <f t="shared" si="66"/>
        <v>105</v>
      </c>
      <c r="I117" s="77">
        <f t="shared" si="50"/>
        <v>11433.544743128885</v>
      </c>
      <c r="J117" s="80">
        <f t="shared" si="67"/>
        <v>1682.7746838013229</v>
      </c>
      <c r="K117" s="77">
        <f t="shared" si="63"/>
        <v>9750.7700593275622</v>
      </c>
      <c r="L117" s="76">
        <f t="shared" si="68"/>
        <v>158526.69832080472</v>
      </c>
      <c r="M117" s="73"/>
      <c r="O117" s="73">
        <f t="shared" si="55"/>
        <v>15</v>
      </c>
    </row>
    <row r="118" spans="1:15" x14ac:dyDescent="0.2">
      <c r="A118" s="72">
        <f t="shared" si="64"/>
        <v>106</v>
      </c>
      <c r="B118" s="75">
        <f t="shared" si="60"/>
        <v>7637.1886904602889</v>
      </c>
      <c r="C118" s="78">
        <f t="shared" si="61"/>
        <v>996.1550465817769</v>
      </c>
      <c r="D118" s="75">
        <f t="shared" si="65"/>
        <v>6641.0336438785116</v>
      </c>
      <c r="E118" s="90">
        <f t="shared" si="62"/>
        <v>92974.471014299168</v>
      </c>
      <c r="F118" s="73"/>
      <c r="H118" s="72">
        <f t="shared" si="66"/>
        <v>106</v>
      </c>
      <c r="I118" s="77">
        <f t="shared" si="50"/>
        <v>11433.544743128885</v>
      </c>
      <c r="J118" s="80">
        <f t="shared" si="67"/>
        <v>1585.2669832080471</v>
      </c>
      <c r="K118" s="77">
        <f t="shared" si="63"/>
        <v>9848.2777599208384</v>
      </c>
      <c r="L118" s="76">
        <f t="shared" si="68"/>
        <v>148678.42056088388</v>
      </c>
      <c r="M118" s="73"/>
      <c r="O118" s="73">
        <f t="shared" si="55"/>
        <v>14</v>
      </c>
    </row>
    <row r="119" spans="1:15" x14ac:dyDescent="0.2">
      <c r="A119" s="72">
        <f t="shared" si="64"/>
        <v>107</v>
      </c>
      <c r="B119" s="75">
        <f t="shared" si="60"/>
        <v>7570.7783540215032</v>
      </c>
      <c r="C119" s="78">
        <f t="shared" si="61"/>
        <v>929.74471014299172</v>
      </c>
      <c r="D119" s="75">
        <f t="shared" si="65"/>
        <v>6641.0336438785116</v>
      </c>
      <c r="E119" s="90">
        <f t="shared" si="62"/>
        <v>86333.437370420652</v>
      </c>
      <c r="F119" s="73"/>
      <c r="H119" s="72">
        <f t="shared" si="66"/>
        <v>107</v>
      </c>
      <c r="I119" s="77">
        <f t="shared" si="50"/>
        <v>11433.544743128885</v>
      </c>
      <c r="J119" s="80">
        <f t="shared" si="67"/>
        <v>1486.7842056088389</v>
      </c>
      <c r="K119" s="77">
        <f t="shared" si="63"/>
        <v>9946.7605375200455</v>
      </c>
      <c r="L119" s="76">
        <f t="shared" si="68"/>
        <v>138731.66002336383</v>
      </c>
      <c r="M119" s="73"/>
      <c r="O119" s="73">
        <f t="shared" si="55"/>
        <v>13</v>
      </c>
    </row>
    <row r="120" spans="1:15" x14ac:dyDescent="0.2">
      <c r="A120" s="93">
        <f t="shared" si="64"/>
        <v>108</v>
      </c>
      <c r="B120" s="94">
        <f t="shared" si="60"/>
        <v>7504.3680175827185</v>
      </c>
      <c r="C120" s="95">
        <f t="shared" si="61"/>
        <v>863.33437370420654</v>
      </c>
      <c r="D120" s="94">
        <f t="shared" si="65"/>
        <v>6641.0336438785116</v>
      </c>
      <c r="E120" s="96">
        <f t="shared" si="62"/>
        <v>79692.403726542136</v>
      </c>
      <c r="F120" s="97">
        <f>E120*(1+$B$9)</f>
        <v>84473.947950134665</v>
      </c>
      <c r="H120" s="93">
        <f t="shared" si="66"/>
        <v>108</v>
      </c>
      <c r="I120" s="98">
        <f>I119</f>
        <v>11433.544743128885</v>
      </c>
      <c r="J120" s="99">
        <f t="shared" si="67"/>
        <v>1387.3166002336384</v>
      </c>
      <c r="K120" s="98">
        <f t="shared" si="63"/>
        <v>10046.228142895246</v>
      </c>
      <c r="L120" s="100">
        <f t="shared" si="68"/>
        <v>128685.43188046859</v>
      </c>
      <c r="M120" s="97">
        <f>L120*(1+$B$9)</f>
        <v>136406.5577932967</v>
      </c>
      <c r="O120" s="73">
        <f t="shared" si="55"/>
        <v>12</v>
      </c>
    </row>
    <row r="121" spans="1:15" x14ac:dyDescent="0.2">
      <c r="A121" s="72">
        <f t="shared" si="64"/>
        <v>109</v>
      </c>
      <c r="B121" s="75">
        <f t="shared" si="60"/>
        <v>7884.2351420125688</v>
      </c>
      <c r="C121" s="78">
        <f>F120*$B$6</f>
        <v>844.73947950134664</v>
      </c>
      <c r="D121" s="75">
        <f>F120/O120</f>
        <v>7039.4956625112218</v>
      </c>
      <c r="E121" s="90">
        <f>F120-D121</f>
        <v>77434.45228762344</v>
      </c>
      <c r="F121" s="73"/>
      <c r="H121" s="72">
        <f t="shared" si="66"/>
        <v>109</v>
      </c>
      <c r="I121" s="77">
        <f>PMT($I$6,$O120,-$M120)</f>
        <v>12119.557427716622</v>
      </c>
      <c r="J121" s="79">
        <f>M120*$I$6</f>
        <v>1364.065577932967</v>
      </c>
      <c r="K121" s="77">
        <f t="shared" si="63"/>
        <v>10755.491849783655</v>
      </c>
      <c r="L121" s="76">
        <f>M120-K121</f>
        <v>125651.06594351304</v>
      </c>
      <c r="M121" s="73"/>
      <c r="O121" s="73">
        <f t="shared" si="55"/>
        <v>11</v>
      </c>
    </row>
    <row r="122" spans="1:15" x14ac:dyDescent="0.2">
      <c r="A122" s="72">
        <f t="shared" si="64"/>
        <v>110</v>
      </c>
      <c r="B122" s="75">
        <f t="shared" si="60"/>
        <v>7813.8401853874566</v>
      </c>
      <c r="C122" s="78">
        <f t="shared" si="61"/>
        <v>774.34452287623446</v>
      </c>
      <c r="D122" s="75">
        <f t="shared" si="65"/>
        <v>7039.4956625112218</v>
      </c>
      <c r="E122" s="90">
        <f t="shared" si="62"/>
        <v>70394.956625112216</v>
      </c>
      <c r="F122" s="73"/>
      <c r="H122" s="72">
        <f t="shared" si="66"/>
        <v>110</v>
      </c>
      <c r="I122" s="77">
        <f t="shared" si="50"/>
        <v>12119.557427716622</v>
      </c>
      <c r="J122" s="80">
        <f t="shared" si="67"/>
        <v>1256.5106594351305</v>
      </c>
      <c r="K122" s="77">
        <f t="shared" si="63"/>
        <v>10863.046768281491</v>
      </c>
      <c r="L122" s="76">
        <f t="shared" si="68"/>
        <v>114788.01917523154</v>
      </c>
      <c r="M122" s="73"/>
      <c r="O122" s="73">
        <f t="shared" si="55"/>
        <v>10</v>
      </c>
    </row>
    <row r="123" spans="1:15" x14ac:dyDescent="0.2">
      <c r="A123" s="72">
        <f t="shared" si="64"/>
        <v>111</v>
      </c>
      <c r="B123" s="75">
        <f t="shared" si="60"/>
        <v>7743.4452287623444</v>
      </c>
      <c r="C123" s="78">
        <f t="shared" si="61"/>
        <v>703.94956625112218</v>
      </c>
      <c r="D123" s="75">
        <f t="shared" si="65"/>
        <v>7039.4956625112218</v>
      </c>
      <c r="E123" s="90">
        <f t="shared" si="62"/>
        <v>63355.460962600991</v>
      </c>
      <c r="F123" s="73"/>
      <c r="H123" s="72">
        <f t="shared" si="66"/>
        <v>111</v>
      </c>
      <c r="I123" s="77">
        <f t="shared" si="50"/>
        <v>12119.557427716622</v>
      </c>
      <c r="J123" s="80">
        <f t="shared" si="67"/>
        <v>1147.8801917523156</v>
      </c>
      <c r="K123" s="77">
        <f t="shared" si="63"/>
        <v>10971.677235964306</v>
      </c>
      <c r="L123" s="76">
        <f t="shared" si="68"/>
        <v>103816.34193926724</v>
      </c>
      <c r="M123" s="73"/>
      <c r="O123" s="73">
        <f t="shared" si="55"/>
        <v>9</v>
      </c>
    </row>
    <row r="124" spans="1:15" x14ac:dyDescent="0.2">
      <c r="A124" s="72">
        <f t="shared" si="64"/>
        <v>112</v>
      </c>
      <c r="B124" s="75">
        <f t="shared" si="60"/>
        <v>7673.0502721372313</v>
      </c>
      <c r="C124" s="78">
        <f t="shared" si="61"/>
        <v>633.55460962600989</v>
      </c>
      <c r="D124" s="75">
        <f t="shared" si="65"/>
        <v>7039.4956625112218</v>
      </c>
      <c r="E124" s="90">
        <f t="shared" si="62"/>
        <v>56315.965300089767</v>
      </c>
      <c r="F124" s="73"/>
      <c r="H124" s="72">
        <f t="shared" si="66"/>
        <v>112</v>
      </c>
      <c r="I124" s="77">
        <f t="shared" si="50"/>
        <v>12119.557427716622</v>
      </c>
      <c r="J124" s="80">
        <f t="shared" si="67"/>
        <v>1038.1634193926725</v>
      </c>
      <c r="K124" s="77">
        <f t="shared" si="63"/>
        <v>11081.394008323949</v>
      </c>
      <c r="L124" s="76">
        <f t="shared" si="68"/>
        <v>92734.947930943294</v>
      </c>
      <c r="M124" s="73"/>
      <c r="O124" s="73">
        <f t="shared" si="55"/>
        <v>8</v>
      </c>
    </row>
    <row r="125" spans="1:15" x14ac:dyDescent="0.2">
      <c r="A125" s="72">
        <f t="shared" si="64"/>
        <v>113</v>
      </c>
      <c r="B125" s="75">
        <f t="shared" si="60"/>
        <v>7602.6553155121192</v>
      </c>
      <c r="C125" s="78">
        <f t="shared" si="61"/>
        <v>563.15965300089772</v>
      </c>
      <c r="D125" s="75">
        <f t="shared" si="65"/>
        <v>7039.4956625112218</v>
      </c>
      <c r="E125" s="90">
        <f t="shared" si="62"/>
        <v>49276.469637578542</v>
      </c>
      <c r="F125" s="73"/>
      <c r="H125" s="72">
        <f t="shared" si="66"/>
        <v>113</v>
      </c>
      <c r="I125" s="77">
        <f t="shared" si="50"/>
        <v>12119.557427716622</v>
      </c>
      <c r="J125" s="80">
        <f t="shared" si="67"/>
        <v>927.34947930943292</v>
      </c>
      <c r="K125" s="77">
        <f t="shared" si="63"/>
        <v>11192.207948407189</v>
      </c>
      <c r="L125" s="76">
        <f t="shared" si="68"/>
        <v>81542.739982536106</v>
      </c>
      <c r="M125" s="73"/>
      <c r="O125" s="73">
        <f t="shared" si="55"/>
        <v>7</v>
      </c>
    </row>
    <row r="126" spans="1:15" x14ac:dyDescent="0.2">
      <c r="A126" s="72">
        <f t="shared" si="64"/>
        <v>114</v>
      </c>
      <c r="B126" s="75">
        <f t="shared" si="60"/>
        <v>7532.260358887007</v>
      </c>
      <c r="C126" s="78">
        <f t="shared" si="61"/>
        <v>492.76469637578543</v>
      </c>
      <c r="D126" s="75">
        <f t="shared" si="65"/>
        <v>7039.4956625112218</v>
      </c>
      <c r="E126" s="90">
        <f t="shared" si="62"/>
        <v>42236.973975067318</v>
      </c>
      <c r="F126" s="73"/>
      <c r="H126" s="72">
        <f t="shared" si="66"/>
        <v>114</v>
      </c>
      <c r="I126" s="77">
        <f t="shared" si="50"/>
        <v>12119.557427716622</v>
      </c>
      <c r="J126" s="80">
        <f t="shared" si="67"/>
        <v>815.42739982536114</v>
      </c>
      <c r="K126" s="77">
        <f t="shared" si="63"/>
        <v>11304.13002789126</v>
      </c>
      <c r="L126" s="76">
        <f t="shared" si="68"/>
        <v>70238.609954644839</v>
      </c>
      <c r="M126" s="73"/>
      <c r="O126" s="73">
        <f t="shared" si="55"/>
        <v>6</v>
      </c>
    </row>
    <row r="127" spans="1:15" x14ac:dyDescent="0.2">
      <c r="A127" s="72">
        <f t="shared" si="64"/>
        <v>115</v>
      </c>
      <c r="B127" s="75">
        <f t="shared" si="60"/>
        <v>7461.8654022618948</v>
      </c>
      <c r="C127" s="78">
        <f t="shared" si="61"/>
        <v>422.3697397506732</v>
      </c>
      <c r="D127" s="75">
        <f t="shared" si="65"/>
        <v>7039.4956625112218</v>
      </c>
      <c r="E127" s="90">
        <f t="shared" si="62"/>
        <v>35197.478312556093</v>
      </c>
      <c r="F127" s="73"/>
      <c r="H127" s="72">
        <f t="shared" si="66"/>
        <v>115</v>
      </c>
      <c r="I127" s="77">
        <f t="shared" si="50"/>
        <v>12119.557427716622</v>
      </c>
      <c r="J127" s="80">
        <f t="shared" si="67"/>
        <v>702.38609954644835</v>
      </c>
      <c r="K127" s="77">
        <f t="shared" si="63"/>
        <v>11417.171328170174</v>
      </c>
      <c r="L127" s="76">
        <f t="shared" si="68"/>
        <v>58821.438626474664</v>
      </c>
      <c r="M127" s="73"/>
      <c r="O127" s="73">
        <f t="shared" si="55"/>
        <v>5</v>
      </c>
    </row>
    <row r="128" spans="1:15" x14ac:dyDescent="0.2">
      <c r="A128" s="72">
        <f t="shared" si="64"/>
        <v>116</v>
      </c>
      <c r="B128" s="75">
        <f t="shared" si="60"/>
        <v>7391.4704456367826</v>
      </c>
      <c r="C128" s="78">
        <f t="shared" si="61"/>
        <v>351.97478312556092</v>
      </c>
      <c r="D128" s="75">
        <f t="shared" si="65"/>
        <v>7039.4956625112218</v>
      </c>
      <c r="E128" s="90">
        <f t="shared" si="62"/>
        <v>28157.982650044873</v>
      </c>
      <c r="F128" s="73"/>
      <c r="H128" s="72">
        <f t="shared" si="66"/>
        <v>116</v>
      </c>
      <c r="I128" s="77">
        <f t="shared" si="50"/>
        <v>12119.557427716622</v>
      </c>
      <c r="J128" s="80">
        <f t="shared" si="67"/>
        <v>588.21438626474662</v>
      </c>
      <c r="K128" s="77">
        <f t="shared" si="63"/>
        <v>11531.343041451875</v>
      </c>
      <c r="L128" s="76">
        <f t="shared" si="68"/>
        <v>47290.095585022791</v>
      </c>
      <c r="M128" s="73"/>
      <c r="O128" s="73">
        <f t="shared" si="55"/>
        <v>4</v>
      </c>
    </row>
    <row r="129" spans="1:15" x14ac:dyDescent="0.2">
      <c r="A129" s="72">
        <f t="shared" si="64"/>
        <v>117</v>
      </c>
      <c r="B129" s="75">
        <f t="shared" si="60"/>
        <v>7321.0754890116705</v>
      </c>
      <c r="C129" s="78">
        <f t="shared" si="61"/>
        <v>281.57982650044875</v>
      </c>
      <c r="D129" s="75">
        <f t="shared" si="65"/>
        <v>7039.4956625112218</v>
      </c>
      <c r="E129" s="90">
        <f t="shared" si="62"/>
        <v>21118.486987533652</v>
      </c>
      <c r="F129" s="73"/>
      <c r="H129" s="72">
        <f t="shared" si="66"/>
        <v>117</v>
      </c>
      <c r="I129" s="77">
        <f t="shared" si="50"/>
        <v>12119.557427716622</v>
      </c>
      <c r="J129" s="80">
        <f t="shared" si="67"/>
        <v>472.90095585022794</v>
      </c>
      <c r="K129" s="77">
        <f t="shared" si="63"/>
        <v>11646.656471866394</v>
      </c>
      <c r="L129" s="76">
        <f t="shared" si="68"/>
        <v>35643.439113156397</v>
      </c>
      <c r="M129" s="73"/>
      <c r="O129" s="73">
        <f t="shared" si="55"/>
        <v>3</v>
      </c>
    </row>
    <row r="130" spans="1:15" x14ac:dyDescent="0.2">
      <c r="A130" s="72">
        <f t="shared" si="64"/>
        <v>118</v>
      </c>
      <c r="B130" s="75">
        <f t="shared" si="60"/>
        <v>7250.6805323865583</v>
      </c>
      <c r="C130" s="78">
        <f t="shared" si="61"/>
        <v>211.18486987533652</v>
      </c>
      <c r="D130" s="75">
        <f t="shared" si="65"/>
        <v>7039.4956625112218</v>
      </c>
      <c r="E130" s="90">
        <f t="shared" si="62"/>
        <v>14078.991325022431</v>
      </c>
      <c r="F130" s="73"/>
      <c r="H130" s="72">
        <f t="shared" si="66"/>
        <v>118</v>
      </c>
      <c r="I130" s="77">
        <f t="shared" si="50"/>
        <v>12119.557427716622</v>
      </c>
      <c r="J130" s="80">
        <f t="shared" si="67"/>
        <v>356.43439113156398</v>
      </c>
      <c r="K130" s="77">
        <f t="shared" si="63"/>
        <v>11763.123036585057</v>
      </c>
      <c r="L130" s="76">
        <f t="shared" si="68"/>
        <v>23880.31607657134</v>
      </c>
      <c r="M130" s="73"/>
      <c r="O130" s="73">
        <f t="shared" si="55"/>
        <v>2</v>
      </c>
    </row>
    <row r="131" spans="1:15" x14ac:dyDescent="0.2">
      <c r="A131" s="72">
        <f t="shared" si="64"/>
        <v>119</v>
      </c>
      <c r="B131" s="75">
        <f t="shared" si="60"/>
        <v>7180.2855757614461</v>
      </c>
      <c r="C131" s="78">
        <f t="shared" si="61"/>
        <v>140.78991325022432</v>
      </c>
      <c r="D131" s="75">
        <f t="shared" si="65"/>
        <v>7039.4956625112218</v>
      </c>
      <c r="E131" s="90">
        <f t="shared" si="62"/>
        <v>7039.495662511209</v>
      </c>
      <c r="F131" s="73"/>
      <c r="H131" s="72">
        <f t="shared" si="66"/>
        <v>119</v>
      </c>
      <c r="I131" s="77">
        <f t="shared" si="50"/>
        <v>12119.557427716622</v>
      </c>
      <c r="J131" s="80">
        <f t="shared" si="67"/>
        <v>238.80316076571341</v>
      </c>
      <c r="K131" s="77">
        <f t="shared" si="63"/>
        <v>11880.754266950908</v>
      </c>
      <c r="L131" s="76">
        <f t="shared" si="68"/>
        <v>11999.561809620433</v>
      </c>
      <c r="M131" s="73"/>
      <c r="O131" s="73">
        <f t="shared" si="55"/>
        <v>1</v>
      </c>
    </row>
    <row r="132" spans="1:15" ht="13.5" thickBot="1" x14ac:dyDescent="0.25">
      <c r="A132" s="72">
        <f t="shared" si="64"/>
        <v>120</v>
      </c>
      <c r="B132" s="75">
        <f t="shared" si="60"/>
        <v>7109.890619136334</v>
      </c>
      <c r="C132" s="78">
        <f t="shared" si="61"/>
        <v>70.394956625112087</v>
      </c>
      <c r="D132" s="75">
        <f t="shared" si="65"/>
        <v>7039.4956625112218</v>
      </c>
      <c r="E132" s="90">
        <f t="shared" si="62"/>
        <v>-1.2732925824820995E-11</v>
      </c>
      <c r="F132" s="92"/>
      <c r="H132" s="81">
        <f t="shared" si="66"/>
        <v>120</v>
      </c>
      <c r="I132" s="77">
        <f>I131</f>
        <v>12119.557427716622</v>
      </c>
      <c r="J132" s="80">
        <f t="shared" si="67"/>
        <v>119.99561809620432</v>
      </c>
      <c r="K132" s="77">
        <f t="shared" si="63"/>
        <v>11999.561809620418</v>
      </c>
      <c r="L132" s="76">
        <f t="shared" si="68"/>
        <v>1.4551915228366852E-11</v>
      </c>
      <c r="M132" s="92"/>
      <c r="O132" s="92">
        <f t="shared" si="55"/>
        <v>0</v>
      </c>
    </row>
    <row r="133" spans="1:15" ht="13.5" thickBot="1" x14ac:dyDescent="0.25">
      <c r="A133" s="82" t="s">
        <v>10</v>
      </c>
      <c r="B133" s="83">
        <f>SUM(B13:B132)</f>
        <v>1019956.8249198714</v>
      </c>
      <c r="C133" s="83">
        <f>SUM(C13:C132)</f>
        <v>360917.07780082687</v>
      </c>
      <c r="D133" s="83">
        <f>SUM(D13:D132)</f>
        <v>659039.74711904419</v>
      </c>
      <c r="E133" s="84"/>
      <c r="H133" s="82" t="s">
        <v>10</v>
      </c>
      <c r="I133" s="83">
        <f>SUM(I13:I132)</f>
        <v>1134636.6906500508</v>
      </c>
      <c r="J133" s="83">
        <f>SUM(J13:J132)</f>
        <v>438450.2676122961</v>
      </c>
      <c r="K133" s="85">
        <f>SUM(K13:K132)</f>
        <v>696186.42303775321</v>
      </c>
      <c r="L133" s="84"/>
    </row>
    <row r="134" spans="1:15" x14ac:dyDescent="0.2">
      <c r="B134" s="86" t="s">
        <v>11</v>
      </c>
      <c r="C134" s="87">
        <f>NPV(B6,C13:C132)</f>
        <v>241004.20394182741</v>
      </c>
      <c r="I134" s="86" t="s">
        <v>11</v>
      </c>
      <c r="J134" s="87">
        <f>NPV(I6,J14:J132)</f>
        <v>280138.67143398977</v>
      </c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40"/>
  <sheetViews>
    <sheetView showGridLines="0" zoomScale="140" zoomScaleNormal="140" workbookViewId="0">
      <selection activeCell="A10" sqref="A10"/>
    </sheetView>
  </sheetViews>
  <sheetFormatPr defaultRowHeight="12.75" x14ac:dyDescent="0.2"/>
  <cols>
    <col min="1" max="1" width="3.5703125" customWidth="1"/>
  </cols>
  <sheetData>
    <row r="2" spans="1:3" x14ac:dyDescent="0.2">
      <c r="B2" s="33" t="s">
        <v>133</v>
      </c>
    </row>
    <row r="4" spans="1:3" x14ac:dyDescent="0.2">
      <c r="A4" s="33" t="s">
        <v>28</v>
      </c>
      <c r="B4" s="33" t="s">
        <v>23</v>
      </c>
    </row>
    <row r="5" spans="1:3" x14ac:dyDescent="0.2">
      <c r="B5" s="33" t="s">
        <v>30</v>
      </c>
    </row>
    <row r="7" spans="1:3" x14ac:dyDescent="0.2">
      <c r="A7" s="33" t="s">
        <v>29</v>
      </c>
      <c r="B7" s="33" t="s">
        <v>73</v>
      </c>
    </row>
    <row r="8" spans="1:3" x14ac:dyDescent="0.2">
      <c r="B8" t="s">
        <v>74</v>
      </c>
    </row>
    <row r="10" spans="1:3" x14ac:dyDescent="0.2">
      <c r="A10" t="s">
        <v>75</v>
      </c>
      <c r="B10" t="s">
        <v>38</v>
      </c>
    </row>
    <row r="11" spans="1:3" x14ac:dyDescent="0.2">
      <c r="B11" t="s">
        <v>37</v>
      </c>
    </row>
    <row r="13" spans="1:3" x14ac:dyDescent="0.2">
      <c r="A13" t="s">
        <v>76</v>
      </c>
      <c r="B13" s="36" t="s">
        <v>77</v>
      </c>
      <c r="C13" s="36"/>
    </row>
    <row r="14" spans="1:3" x14ac:dyDescent="0.2">
      <c r="B14" s="36" t="s">
        <v>89</v>
      </c>
      <c r="C14" s="36"/>
    </row>
    <row r="15" spans="1:3" x14ac:dyDescent="0.2">
      <c r="B15" s="36" t="s">
        <v>32</v>
      </c>
      <c r="C15" s="36"/>
    </row>
    <row r="17" spans="1:2" x14ac:dyDescent="0.2">
      <c r="A17" t="s">
        <v>78</v>
      </c>
      <c r="B17" s="33" t="s">
        <v>33</v>
      </c>
    </row>
    <row r="18" spans="1:2" x14ac:dyDescent="0.2">
      <c r="B18" s="33" t="s">
        <v>34</v>
      </c>
    </row>
    <row r="19" spans="1:2" x14ac:dyDescent="0.2">
      <c r="B19" s="33" t="s">
        <v>35</v>
      </c>
    </row>
    <row r="20" spans="1:2" x14ac:dyDescent="0.2">
      <c r="B20" s="33" t="s">
        <v>36</v>
      </c>
    </row>
    <row r="22" spans="1:2" x14ac:dyDescent="0.2">
      <c r="A22" s="33" t="s">
        <v>79</v>
      </c>
      <c r="B22" s="33" t="s">
        <v>17</v>
      </c>
    </row>
    <row r="23" spans="1:2" x14ac:dyDescent="0.2">
      <c r="B23" s="33" t="s">
        <v>88</v>
      </c>
    </row>
    <row r="24" spans="1:2" x14ac:dyDescent="0.2">
      <c r="B24" s="24" t="s">
        <v>18</v>
      </c>
    </row>
    <row r="25" spans="1:2" x14ac:dyDescent="0.2">
      <c r="B25" s="24" t="s">
        <v>19</v>
      </c>
    </row>
    <row r="27" spans="1:2" x14ac:dyDescent="0.2">
      <c r="A27" t="s">
        <v>80</v>
      </c>
      <c r="B27" t="s">
        <v>82</v>
      </c>
    </row>
    <row r="28" spans="1:2" x14ac:dyDescent="0.2">
      <c r="B28" t="s">
        <v>81</v>
      </c>
    </row>
    <row r="30" spans="1:2" x14ac:dyDescent="0.2">
      <c r="A30" t="s">
        <v>83</v>
      </c>
      <c r="B30" t="s">
        <v>84</v>
      </c>
    </row>
    <row r="31" spans="1:2" x14ac:dyDescent="0.2">
      <c r="B31" t="s">
        <v>85</v>
      </c>
    </row>
    <row r="32" spans="1:2" x14ac:dyDescent="0.2">
      <c r="B32" t="s">
        <v>87</v>
      </c>
    </row>
    <row r="33" spans="1:2" x14ac:dyDescent="0.2">
      <c r="B33" t="s">
        <v>86</v>
      </c>
    </row>
    <row r="35" spans="1:2" x14ac:dyDescent="0.2">
      <c r="A35" s="33" t="s">
        <v>141</v>
      </c>
      <c r="B35" t="s">
        <v>138</v>
      </c>
    </row>
    <row r="36" spans="1:2" x14ac:dyDescent="0.2">
      <c r="B36" s="101" t="s">
        <v>139</v>
      </c>
    </row>
    <row r="37" spans="1:2" x14ac:dyDescent="0.2">
      <c r="B37" s="101" t="s">
        <v>140</v>
      </c>
    </row>
    <row r="39" spans="1:2" x14ac:dyDescent="0.2">
      <c r="A39" s="57" t="s">
        <v>177</v>
      </c>
      <c r="B39" s="57" t="s">
        <v>178</v>
      </c>
    </row>
    <row r="40" spans="1:2" x14ac:dyDescent="0.2">
      <c r="A40" s="57"/>
      <c r="B40" s="57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3AD9-1B51-4D54-A530-343A626F4F44}">
  <dimension ref="A2:E32"/>
  <sheetViews>
    <sheetView showGridLines="0" zoomScale="160" zoomScaleNormal="160" workbookViewId="0"/>
  </sheetViews>
  <sheetFormatPr defaultRowHeight="12.75" x14ac:dyDescent="0.2"/>
  <cols>
    <col min="1" max="1" width="2.7109375" customWidth="1"/>
    <col min="2" max="2" width="12.140625" customWidth="1"/>
    <col min="3" max="3" width="13.28515625" customWidth="1"/>
    <col min="4" max="4" width="7.5703125" customWidth="1"/>
    <col min="6" max="6" width="13" bestFit="1" customWidth="1"/>
    <col min="9" max="9" width="10.7109375" bestFit="1" customWidth="1"/>
    <col min="10" max="12" width="9.5703125" bestFit="1" customWidth="1"/>
    <col min="13" max="13" width="10.7109375" bestFit="1" customWidth="1"/>
  </cols>
  <sheetData>
    <row r="2" spans="1:5" x14ac:dyDescent="0.2">
      <c r="A2" s="33"/>
      <c r="B2" s="33" t="s">
        <v>156</v>
      </c>
    </row>
    <row r="3" spans="1:5" x14ac:dyDescent="0.2">
      <c r="B3" s="33" t="s">
        <v>164</v>
      </c>
    </row>
    <row r="4" spans="1:5" x14ac:dyDescent="0.2">
      <c r="B4" s="33" t="s">
        <v>157</v>
      </c>
    </row>
    <row r="6" spans="1:5" x14ac:dyDescent="0.2">
      <c r="B6" t="s">
        <v>13</v>
      </c>
      <c r="C6" s="103">
        <v>0.02</v>
      </c>
      <c r="D6" t="s">
        <v>15</v>
      </c>
      <c r="E6" s="33"/>
    </row>
    <row r="7" spans="1:5" x14ac:dyDescent="0.2">
      <c r="B7" t="s">
        <v>21</v>
      </c>
      <c r="C7">
        <v>36</v>
      </c>
      <c r="D7" t="s">
        <v>22</v>
      </c>
      <c r="E7" s="33"/>
    </row>
    <row r="8" spans="1:5" x14ac:dyDescent="0.2">
      <c r="B8" t="s">
        <v>3</v>
      </c>
      <c r="C8" s="44">
        <v>18500</v>
      </c>
      <c r="E8" s="33"/>
    </row>
    <row r="9" spans="1:5" x14ac:dyDescent="0.2">
      <c r="B9" t="s">
        <v>151</v>
      </c>
      <c r="C9" s="102">
        <v>0.05</v>
      </c>
      <c r="E9" s="33" t="s">
        <v>165</v>
      </c>
    </row>
    <row r="11" spans="1:5" x14ac:dyDescent="0.2">
      <c r="B11" t="s">
        <v>145</v>
      </c>
      <c r="C11" s="44">
        <f>C9*C8</f>
        <v>925</v>
      </c>
      <c r="E11" t="s">
        <v>146</v>
      </c>
    </row>
    <row r="12" spans="1:5" x14ac:dyDescent="0.2">
      <c r="B12" t="s">
        <v>144</v>
      </c>
      <c r="C12" s="44">
        <f>C11/(1+C6)^C7</f>
        <v>453.45641407583338</v>
      </c>
      <c r="E12" s="33" t="s">
        <v>147</v>
      </c>
    </row>
    <row r="14" spans="1:5" x14ac:dyDescent="0.2">
      <c r="B14" s="33" t="s">
        <v>143</v>
      </c>
      <c r="C14" s="44">
        <f>C8-C12</f>
        <v>18046.543585924166</v>
      </c>
      <c r="E14" t="s">
        <v>149</v>
      </c>
    </row>
    <row r="15" spans="1:5" x14ac:dyDescent="0.2">
      <c r="B15" s="45" t="s">
        <v>26</v>
      </c>
      <c r="C15" s="46">
        <f>PMT(C6,C7,-C14)</f>
        <v>708.01738440630243</v>
      </c>
      <c r="E15" s="33" t="s">
        <v>148</v>
      </c>
    </row>
    <row r="16" spans="1:5" x14ac:dyDescent="0.2">
      <c r="C16" s="46">
        <f>(C8-C8*C9/(1+C6)^C7)*C18</f>
        <v>708.01738440630265</v>
      </c>
      <c r="E16" s="33" t="s">
        <v>150</v>
      </c>
    </row>
    <row r="18" spans="2:5" x14ac:dyDescent="0.2">
      <c r="B18" t="s">
        <v>25</v>
      </c>
      <c r="C18" s="47">
        <f>((1+C6)^C7)*C6/((1+C6)^C7-1)</f>
        <v>3.9232852597798164E-2</v>
      </c>
    </row>
    <row r="19" spans="2:5" x14ac:dyDescent="0.2">
      <c r="B19" s="45" t="s">
        <v>26</v>
      </c>
      <c r="C19" s="46">
        <f>PMT(C6,C7,-C8)</f>
        <v>725.80777305926574</v>
      </c>
      <c r="E19" s="33" t="s">
        <v>142</v>
      </c>
    </row>
    <row r="20" spans="2:5" x14ac:dyDescent="0.2">
      <c r="C20" s="39"/>
      <c r="E20" t="s">
        <v>166</v>
      </c>
    </row>
    <row r="22" spans="2:5" x14ac:dyDescent="0.2">
      <c r="B22" t="s">
        <v>167</v>
      </c>
    </row>
    <row r="23" spans="2:5" x14ac:dyDescent="0.2">
      <c r="C23" s="30"/>
    </row>
    <row r="24" spans="2:5" x14ac:dyDescent="0.2">
      <c r="B24" t="s">
        <v>152</v>
      </c>
      <c r="C24" s="32">
        <f>D24*C8</f>
        <v>1850</v>
      </c>
      <c r="D24" s="30">
        <v>0.1</v>
      </c>
      <c r="E24" s="33" t="s">
        <v>154</v>
      </c>
    </row>
    <row r="25" spans="2:5" x14ac:dyDescent="0.2">
      <c r="B25" t="s">
        <v>153</v>
      </c>
      <c r="C25" s="35">
        <f>RATE(C7,-C19,C8,-(-C24))</f>
        <v>1.670085245886762E-2</v>
      </c>
      <c r="E25" t="s">
        <v>155</v>
      </c>
    </row>
    <row r="26" spans="2:5" x14ac:dyDescent="0.2">
      <c r="C26" s="32"/>
    </row>
    <row r="27" spans="2:5" x14ac:dyDescent="0.2">
      <c r="C27" s="32"/>
    </row>
    <row r="32" spans="2:5" x14ac:dyDescent="0.2">
      <c r="B32" s="33"/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3289-275F-4EF9-B363-C219E72168B8}">
  <dimension ref="A2:F31"/>
  <sheetViews>
    <sheetView showGridLines="0" zoomScale="160" zoomScaleNormal="160" workbookViewId="0">
      <selection activeCell="C15" sqref="C15"/>
    </sheetView>
  </sheetViews>
  <sheetFormatPr defaultRowHeight="12.75" x14ac:dyDescent="0.2"/>
  <cols>
    <col min="1" max="1" width="2.7109375" customWidth="1"/>
    <col min="2" max="2" width="15.140625" customWidth="1"/>
    <col min="3" max="3" width="13.28515625" customWidth="1"/>
    <col min="4" max="4" width="7.5703125" customWidth="1"/>
    <col min="6" max="6" width="13" bestFit="1" customWidth="1"/>
    <col min="9" max="9" width="10.7109375" bestFit="1" customWidth="1"/>
    <col min="10" max="12" width="9.5703125" bestFit="1" customWidth="1"/>
    <col min="13" max="13" width="10.7109375" bestFit="1" customWidth="1"/>
  </cols>
  <sheetData>
    <row r="2" spans="1:6" x14ac:dyDescent="0.2">
      <c r="A2" s="33"/>
      <c r="B2" s="33" t="s">
        <v>158</v>
      </c>
    </row>
    <row r="3" spans="1:6" x14ac:dyDescent="0.2">
      <c r="B3" s="33" t="s">
        <v>171</v>
      </c>
    </row>
    <row r="4" spans="1:6" x14ac:dyDescent="0.2">
      <c r="B4" s="33"/>
    </row>
    <row r="5" spans="1:6" x14ac:dyDescent="0.2">
      <c r="B5" s="33" t="s">
        <v>174</v>
      </c>
    </row>
    <row r="6" spans="1:6" x14ac:dyDescent="0.2">
      <c r="B6" s="33" t="s">
        <v>175</v>
      </c>
    </row>
    <row r="7" spans="1:6" x14ac:dyDescent="0.2">
      <c r="B7" s="33"/>
    </row>
    <row r="8" spans="1:6" x14ac:dyDescent="0.2">
      <c r="B8" t="s">
        <v>13</v>
      </c>
      <c r="C8" s="30">
        <v>0.12</v>
      </c>
      <c r="D8" t="s">
        <v>14</v>
      </c>
      <c r="E8" s="35">
        <f>(1+C8)^(1/12)-1</f>
        <v>9.4887929345830457E-3</v>
      </c>
      <c r="F8" t="s">
        <v>15</v>
      </c>
    </row>
    <row r="9" spans="1:6" x14ac:dyDescent="0.2">
      <c r="B9" t="s">
        <v>21</v>
      </c>
      <c r="C9">
        <v>36</v>
      </c>
      <c r="D9" t="s">
        <v>22</v>
      </c>
    </row>
    <row r="10" spans="1:6" x14ac:dyDescent="0.2">
      <c r="B10" t="s">
        <v>3</v>
      </c>
      <c r="C10" s="44">
        <v>26000</v>
      </c>
      <c r="E10" s="33"/>
    </row>
    <row r="11" spans="1:6" x14ac:dyDescent="0.2">
      <c r="B11" t="s">
        <v>26</v>
      </c>
      <c r="C11" s="44">
        <v>700</v>
      </c>
      <c r="E11" s="33"/>
    </row>
    <row r="12" spans="1:6" x14ac:dyDescent="0.2">
      <c r="B12" t="s">
        <v>143</v>
      </c>
      <c r="C12" s="44">
        <f>PV(E8,C9,-C11)</f>
        <v>21262.327876847026</v>
      </c>
      <c r="E12" s="33" t="s">
        <v>159</v>
      </c>
    </row>
    <row r="13" spans="1:6" x14ac:dyDescent="0.2">
      <c r="B13" t="s">
        <v>144</v>
      </c>
      <c r="C13" s="44">
        <f>C10-C12</f>
        <v>4737.6721231529737</v>
      </c>
      <c r="E13" s="33" t="s">
        <v>147</v>
      </c>
    </row>
    <row r="14" spans="1:6" x14ac:dyDescent="0.2">
      <c r="C14" s="20">
        <f>C13/C10</f>
        <v>0.18221815858280668</v>
      </c>
      <c r="E14" t="s">
        <v>168</v>
      </c>
    </row>
    <row r="15" spans="1:6" x14ac:dyDescent="0.2">
      <c r="B15" t="s">
        <v>176</v>
      </c>
      <c r="C15" s="44">
        <f>C13*(1+E8)^C9</f>
        <v>6656.088220637087</v>
      </c>
    </row>
    <row r="16" spans="1:6" x14ac:dyDescent="0.2">
      <c r="C16" s="44"/>
    </row>
    <row r="17" spans="2:5" x14ac:dyDescent="0.2">
      <c r="B17" t="s">
        <v>160</v>
      </c>
    </row>
    <row r="18" spans="2:5" x14ac:dyDescent="0.2">
      <c r="B18" t="s">
        <v>161</v>
      </c>
    </row>
    <row r="20" spans="2:5" x14ac:dyDescent="0.2">
      <c r="B20" t="s">
        <v>26</v>
      </c>
      <c r="C20" s="44">
        <v>720</v>
      </c>
    </row>
    <row r="21" spans="2:5" x14ac:dyDescent="0.2">
      <c r="B21" t="s">
        <v>27</v>
      </c>
      <c r="C21" s="44">
        <v>7000</v>
      </c>
      <c r="E21" t="s">
        <v>163</v>
      </c>
    </row>
    <row r="22" spans="2:5" x14ac:dyDescent="0.2">
      <c r="B22" t="s">
        <v>162</v>
      </c>
      <c r="C22" s="31">
        <f>RATE(C9,-C20,C10,-C21)</f>
        <v>1.1054604506719416E-2</v>
      </c>
      <c r="D22" t="s">
        <v>15</v>
      </c>
      <c r="E22" t="s">
        <v>31</v>
      </c>
    </row>
    <row r="23" spans="2:5" x14ac:dyDescent="0.2">
      <c r="C23" s="31">
        <f>(1+C22)^12-1</f>
        <v>0.14102546373787828</v>
      </c>
      <c r="D23" t="s">
        <v>14</v>
      </c>
    </row>
    <row r="24" spans="2:5" x14ac:dyDescent="0.2">
      <c r="B24" t="s">
        <v>20</v>
      </c>
      <c r="C24" s="32">
        <f>PV(E8,C9,-C20,-C21)</f>
        <v>26852.284693736514</v>
      </c>
      <c r="E24" t="s">
        <v>173</v>
      </c>
    </row>
    <row r="25" spans="2:5" x14ac:dyDescent="0.2">
      <c r="C25" s="20"/>
    </row>
    <row r="26" spans="2:5" x14ac:dyDescent="0.2">
      <c r="B26" t="s">
        <v>170</v>
      </c>
    </row>
    <row r="28" spans="2:5" x14ac:dyDescent="0.2">
      <c r="B28" t="s">
        <v>169</v>
      </c>
      <c r="C28" s="44">
        <v>3500</v>
      </c>
    </row>
    <row r="29" spans="2:5" x14ac:dyDescent="0.2">
      <c r="B29" t="s">
        <v>172</v>
      </c>
      <c r="C29" s="44">
        <f>C28-C21</f>
        <v>-3500</v>
      </c>
      <c r="E29" t="s">
        <v>165</v>
      </c>
    </row>
    <row r="30" spans="2:5" x14ac:dyDescent="0.2">
      <c r="B30" t="s">
        <v>162</v>
      </c>
      <c r="C30" s="31">
        <f>RATE(C9,-C20,C10,C29)</f>
        <v>6.1389497295618878E-3</v>
      </c>
      <c r="D30" t="s">
        <v>15</v>
      </c>
      <c r="E30" t="s">
        <v>31</v>
      </c>
    </row>
    <row r="31" spans="2:5" x14ac:dyDescent="0.2">
      <c r="C31" s="31">
        <f>(1+C30)^12-1</f>
        <v>7.620632769356761E-2</v>
      </c>
      <c r="D31" t="s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Gráficos</vt:lpstr>
      </vt:variant>
      <vt:variant>
        <vt:i4>6</vt:i4>
      </vt:variant>
    </vt:vector>
  </HeadingPairs>
  <TitlesOfParts>
    <vt:vector size="19" baseType="lpstr">
      <vt:lpstr>Terminologia</vt:lpstr>
      <vt:lpstr>Série uniforme (ex 1)</vt:lpstr>
      <vt:lpstr>Série uniforme (ex 2)</vt:lpstr>
      <vt:lpstr>Série uniforme (ex 3)</vt:lpstr>
      <vt:lpstr>Série uniforme (ex 4)</vt:lpstr>
      <vt:lpstr>Série uniforme (ex 5)</vt:lpstr>
      <vt:lpstr>Série uniforme (ex 6)</vt:lpstr>
      <vt:lpstr>Amortização (exemplo 1)</vt:lpstr>
      <vt:lpstr>Amortização</vt:lpstr>
      <vt:lpstr>Amortização + corr monetária</vt:lpstr>
      <vt:lpstr>Aula 08 Exercicios</vt:lpstr>
      <vt:lpstr>Aula 08 Exemplo leasing (1)</vt:lpstr>
      <vt:lpstr>Aula 08 Exemplo leasing (2)</vt:lpstr>
      <vt:lpstr>Amort (1)</vt:lpstr>
      <vt:lpstr>Amort (2)</vt:lpstr>
      <vt:lpstr>Amort (3)</vt:lpstr>
      <vt:lpstr>Amort + corr monet (1)</vt:lpstr>
      <vt:lpstr>Amort + corr monet (2)</vt:lpstr>
      <vt:lpstr>Amort + corr monet (3)</vt:lpstr>
    </vt:vector>
  </TitlesOfParts>
  <Company>Banco Reg. de Desenvolv. do Extremo Sul - BRDE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CarlosBoabaid</dc:creator>
  <cp:lastModifiedBy>Carlos Boabaid Neto</cp:lastModifiedBy>
  <cp:lastPrinted>2008-11-05T17:11:41Z</cp:lastPrinted>
  <dcterms:created xsi:type="dcterms:W3CDTF">2002-07-22T19:40:15Z</dcterms:created>
  <dcterms:modified xsi:type="dcterms:W3CDTF">2024-11-06T20:56:23Z</dcterms:modified>
</cp:coreProperties>
</file>